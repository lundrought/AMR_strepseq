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regionh-my.sharepoint.com/personal/rasmus_lykke_marvig_regionh_dk/Documents/oral_strep/"/>
    </mc:Choice>
  </mc:AlternateContent>
  <xr:revisionPtr revIDLastSave="469" documentId="8_{450005CC-73D5-42CE-962A-187994D168D2}" xr6:coauthVersionLast="47" xr6:coauthVersionMax="47" xr10:uidLastSave="{29040F0A-C599-442F-9F0C-1CFFA41FDF2E}"/>
  <bookViews>
    <workbookView xWindow="-120" yWindow="-120" windowWidth="38640" windowHeight="21120" xr2:uid="{2E622E12-9D0E-4CDA-87AF-9AF9C859D493}"/>
  </bookViews>
  <sheets>
    <sheet name="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4" i="1"/>
  <c r="N97" i="1"/>
  <c r="N99" i="1"/>
  <c r="N61" i="1"/>
  <c r="N47" i="1"/>
  <c r="N48" i="1"/>
  <c r="N49" i="1"/>
  <c r="N50" i="1"/>
  <c r="N15" i="1"/>
  <c r="N16" i="1"/>
  <c r="N51" i="1"/>
  <c r="N52" i="1"/>
  <c r="N53" i="1"/>
  <c r="N54" i="1"/>
  <c r="N55" i="1"/>
  <c r="N56" i="1"/>
  <c r="N57" i="1"/>
  <c r="N58" i="1"/>
  <c r="N59" i="1"/>
  <c r="N60" i="1"/>
  <c r="N62" i="1"/>
  <c r="N63" i="1"/>
  <c r="N64" i="1"/>
  <c r="N17" i="1"/>
  <c r="N18" i="1"/>
  <c r="N65" i="1"/>
  <c r="N66" i="1"/>
  <c r="N67" i="1"/>
  <c r="N68" i="1"/>
  <c r="N69" i="1"/>
  <c r="N70" i="1"/>
  <c r="N71" i="1"/>
  <c r="N72" i="1"/>
  <c r="N73" i="1"/>
  <c r="N74" i="1"/>
  <c r="N19" i="1"/>
  <c r="N75" i="1"/>
  <c r="N20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21" i="1"/>
  <c r="N22" i="1"/>
  <c r="N23" i="1"/>
  <c r="N24" i="1"/>
  <c r="N25" i="1"/>
  <c r="N26" i="1"/>
  <c r="N4" i="1"/>
  <c r="N27" i="1"/>
  <c r="N28" i="1"/>
  <c r="N5" i="1"/>
  <c r="N29" i="1"/>
  <c r="N6" i="1"/>
  <c r="N30" i="1"/>
  <c r="N94" i="1"/>
  <c r="N7" i="1"/>
  <c r="N31" i="1"/>
  <c r="N32" i="1"/>
  <c r="N8" i="1"/>
  <c r="N9" i="1"/>
  <c r="N33" i="1"/>
  <c r="N34" i="1"/>
  <c r="N10" i="1"/>
  <c r="N35" i="1"/>
  <c r="N11" i="1"/>
  <c r="N12" i="1"/>
  <c r="N36" i="1"/>
  <c r="N37" i="1"/>
  <c r="N38" i="1"/>
  <c r="N39" i="1"/>
  <c r="N13" i="1"/>
  <c r="N40" i="1"/>
  <c r="N41" i="1"/>
  <c r="N95" i="1"/>
  <c r="N96" i="1"/>
  <c r="N42" i="1"/>
  <c r="N43" i="1"/>
  <c r="N14" i="1"/>
  <c r="N44" i="1"/>
  <c r="N98" i="1"/>
  <c r="N45" i="1"/>
  <c r="N46" i="1"/>
</calcChain>
</file>

<file path=xl/sharedStrings.xml><?xml version="1.0" encoding="utf-8"?>
<sst xmlns="http://schemas.openxmlformats.org/spreadsheetml/2006/main" count="1902" uniqueCount="709">
  <si>
    <t>SAMPLE_ID</t>
  </si>
  <si>
    <t>ZEROPREFIX_SAMPLE_ID</t>
  </si>
  <si>
    <t>Included_in_PMID_40182115</t>
  </si>
  <si>
    <t>GM_FILE_ID</t>
  </si>
  <si>
    <t>Genome_sequencing_qc</t>
  </si>
  <si>
    <t>Number_contigs_genome</t>
  </si>
  <si>
    <t>Genome_size</t>
  </si>
  <si>
    <t>Topmost_percent_Bracken_read_classification</t>
  </si>
  <si>
    <t>Species_GTDB_release207_ANIpercent</t>
  </si>
  <si>
    <t>Abricate_resfinder-v2019-09-10_genes_coverage_lt_60perc_identity_lt_90perc</t>
  </si>
  <si>
    <t>wgs_report_extract</t>
  </si>
  <si>
    <t>Exlcude_due_to_uncertainty_about_sample_identity</t>
  </si>
  <si>
    <t>MATCH_NAME</t>
  </si>
  <si>
    <t>Resistance</t>
  </si>
  <si>
    <t>Brøndplacering</t>
  </si>
  <si>
    <t>Navn</t>
  </si>
  <si>
    <t>Maldi species 1. test</t>
  </si>
  <si>
    <t>Maldi species 2. test</t>
  </si>
  <si>
    <t>Zone diameter</t>
  </si>
  <si>
    <t>Hvor de kommer fra</t>
  </si>
  <si>
    <t>gtdb-tk-2.6.1_on_r226</t>
  </si>
  <si>
    <t>gtdb-tk-2.1.1_on_r214</t>
  </si>
  <si>
    <t>gtdb-tk-2.1.1_on_r207v2</t>
  </si>
  <si>
    <t>43m</t>
  </si>
  <si>
    <t>0043m</t>
  </si>
  <si>
    <t>?</t>
  </si>
  <si>
    <t>0043m-CMPN001x78_260114_LH00793_B23GCKKLT3</t>
  </si>
  <si>
    <t>Pass</t>
  </si>
  <si>
    <t>Streptococcus sp. oral taxon 431 (20.17%)</t>
  </si>
  <si>
    <t>No species (%)</t>
  </si>
  <si>
    <t>mef(A)_2,msr(D)_2</t>
  </si>
  <si>
    <t>Unknown species. Bacdist not run</t>
  </si>
  <si>
    <t>KEEP</t>
  </si>
  <si>
    <t>7F</t>
  </si>
  <si>
    <t>Mitis Oralis</t>
  </si>
  <si>
    <t> </t>
  </si>
  <si>
    <t>Astrid udtaget fra Marias</t>
  </si>
  <si>
    <t>s__</t>
  </si>
  <si>
    <t>48m</t>
  </si>
  <si>
    <t>0048m</t>
  </si>
  <si>
    <t>0048m-CMPN001x79_260114_LH00793_B23GCKKLT3</t>
  </si>
  <si>
    <t>Streptococcus oralis (66.06%)</t>
  </si>
  <si>
    <t>Streptococcus sp900555155 (95.2%)</t>
  </si>
  <si>
    <t>mef(A)_3,msr(D)_3</t>
  </si>
  <si>
    <t>Just one sample. Bacdist not run</t>
  </si>
  <si>
    <t>7G</t>
  </si>
  <si>
    <t>s__Streptococcus oralis_CS</t>
  </si>
  <si>
    <t>s__Streptococcus sp900555155</t>
  </si>
  <si>
    <t>52a</t>
  </si>
  <si>
    <t>0052a</t>
  </si>
  <si>
    <t>0052a-CMPN001x80_260114_LH00793_B23GCKKLT3</t>
  </si>
  <si>
    <t>Streptococcus anginosus (81.63%)</t>
  </si>
  <si>
    <t>Streptococcus anginosusxC (97.1%)</t>
  </si>
  <si>
    <t>Parsnp found no close relatives. Bacdist not run (best match is 074Ca-CMPN001x09_260114_LH00793_B23GCKKLT3 (35456 SNPs))</t>
  </si>
  <si>
    <t>7H</t>
  </si>
  <si>
    <t>Anginosus</t>
  </si>
  <si>
    <t>s__Streptococcus hominis</t>
  </si>
  <si>
    <t>s__Streptococcus anginosus_C</t>
  </si>
  <si>
    <t>59s</t>
  </si>
  <si>
    <t>0059s</t>
  </si>
  <si>
    <t>0059s-CMPN001x81_260114_LH00793_B23GCKKLT3</t>
  </si>
  <si>
    <t>Streptococcus sanguinis (75.12%)</t>
  </si>
  <si>
    <t>Streptococcus sanguinisxH (95.6%)</t>
  </si>
  <si>
    <t>Only 2 samples, parsnp not run.{'123Cs-CMPN001x34_260114_LH00793_B23GCKKLT3': 43852}</t>
  </si>
  <si>
    <t>7I</t>
  </si>
  <si>
    <t>Sanguinis</t>
  </si>
  <si>
    <t>s__Streptococcus sanguinis_H</t>
  </si>
  <si>
    <t>68g</t>
  </si>
  <si>
    <t>0068g</t>
  </si>
  <si>
    <t>0068g-CMPN001x82_260114_LH00793_B23GCKKLT3</t>
  </si>
  <si>
    <t>Streptococcus gordonii (84.26%)</t>
  </si>
  <si>
    <t>Streptococcus gordonii (95.8%)</t>
  </si>
  <si>
    <t>Parsnp found no close relatives. Bacdist not run (best match is 042Cg-CMPN001x02_260114_LH00793_B23GCKKLT3 (43008 SNPs))</t>
  </si>
  <si>
    <t>7J</t>
  </si>
  <si>
    <t>Gordonii</t>
  </si>
  <si>
    <t>s__Streptococcus gordonii</t>
  </si>
  <si>
    <t>68m</t>
  </si>
  <si>
    <t>0068m</t>
  </si>
  <si>
    <t>0068m-CMPN001x83_260114_LH00793_B23GCKKLT3</t>
  </si>
  <si>
    <t>Streptococcus mitis (37.24%)</t>
  </si>
  <si>
    <t>mef(A)_2,msr(D)_2,tet(M)_2</t>
  </si>
  <si>
    <t>7K</t>
  </si>
  <si>
    <t>71v</t>
  </si>
  <si>
    <t>0071v</t>
  </si>
  <si>
    <t>0071v-CMPN001x84_260114_LH00793_B23GCKKLT3</t>
  </si>
  <si>
    <t>Streptococcus salivarius (37.56%)</t>
  </si>
  <si>
    <t>Streptococcus vestibularis (97.4%)</t>
  </si>
  <si>
    <t>Parsnp found no close relatives. Bacdist not run (best match is 110Av-CMPN001x57_260114_LH00793_B23GCKKLT3 (24877 SNPs))</t>
  </si>
  <si>
    <t>7L</t>
  </si>
  <si>
    <t>Vestibularis</t>
  </si>
  <si>
    <t>s__Streptococcus vestibularis</t>
  </si>
  <si>
    <t>76m</t>
  </si>
  <si>
    <t>0076m</t>
  </si>
  <si>
    <t>0076m-CMPN001x85_260114_LH00793_B23GCKKLT3</t>
  </si>
  <si>
    <t>Streptococcus sp. oral taxon 431 (56.48%)</t>
  </si>
  <si>
    <t>Streptococcus sp001553685 (95.1%)</t>
  </si>
  <si>
    <t>Parsnp found no close relatives. Bacdist not run (best match is 90Pim-CMPN001x42_260114_LH00793_B23GCKKLT3 (77479 SNPs))</t>
  </si>
  <si>
    <t>8A</t>
  </si>
  <si>
    <t>s__Streptococcus sp001553685</t>
  </si>
  <si>
    <t>76p</t>
  </si>
  <si>
    <t>0076p</t>
  </si>
  <si>
    <t>0076p-CMPN001x86_260114_LH00793_B23GCKKLT3</t>
  </si>
  <si>
    <t>Fail</t>
  </si>
  <si>
    <t>Streptococcus parasanguinis (51.86%)</t>
  </si>
  <si>
    <t>tetA(46)_1,tetB(46)_1</t>
  </si>
  <si>
    <t>8B</t>
  </si>
  <si>
    <t>Parasanguinis</t>
  </si>
  <si>
    <t>Unclassified Bacteria</t>
  </si>
  <si>
    <t>84v</t>
  </si>
  <si>
    <t>0084v</t>
  </si>
  <si>
    <t>0084v-CMPN001x87_260114_LH00793_B23GCKKLT3</t>
  </si>
  <si>
    <t>Streptococcus salivarius (40.52%)</t>
  </si>
  <si>
    <t>Streptococcus vestibularis (98.5%)</t>
  </si>
  <si>
    <t>Parsnp found no close relatives. Bacdist not run (best match is 110Av-CMPN001x57_260114_LH00793_B23GCKKLT3 (30945 SNPs))</t>
  </si>
  <si>
    <t>8C</t>
  </si>
  <si>
    <t>93s</t>
  </si>
  <si>
    <t>0093s</t>
  </si>
  <si>
    <t>0093s-CMPN001x88_260114_LH00793_B23GCKKLT3</t>
  </si>
  <si>
    <t>Streptococcus salivarius (88.83%)</t>
  </si>
  <si>
    <t>Streptococcus salivarius (95.7%)</t>
  </si>
  <si>
    <t>Parsnp found no close relatives. Bacdist not run</t>
  </si>
  <si>
    <t>8D</t>
  </si>
  <si>
    <t>Salivarius</t>
  </si>
  <si>
    <t>s__Streptococcus salivarius_D</t>
  </si>
  <si>
    <t>s__Streptococcus salivarius</t>
  </si>
  <si>
    <t>106g</t>
  </si>
  <si>
    <t>0106g</t>
  </si>
  <si>
    <t>0106g-CMPN001x89_260114_LH00793_B23GCKKLT3</t>
  </si>
  <si>
    <t>Streptococcus gordonii (92.47%)</t>
  </si>
  <si>
    <t>Streptococcus gordonii (95.9%)</t>
  </si>
  <si>
    <t>Parsnp found no close relatives. Bacdist not run (best match is 0068g-CMPN001x82_260114_LH00793_B23GCKKLT3 (64831 SNPs))</t>
  </si>
  <si>
    <t>8E</t>
  </si>
  <si>
    <t>106s</t>
  </si>
  <si>
    <t>0106s</t>
  </si>
  <si>
    <t>0106s-CMPN001x90_260114_LH00793_B23GCKKLT3</t>
  </si>
  <si>
    <t>Streptococcus salivarius (90.04%)</t>
  </si>
  <si>
    <t>{'0116s-CMPN001x91_260114_LH00793_B23GCKKLT3': 0}</t>
  </si>
  <si>
    <t>EXLCUDE</t>
  </si>
  <si>
    <t>8F</t>
  </si>
  <si>
    <t>116p</t>
  </si>
  <si>
    <t>0116p</t>
  </si>
  <si>
    <t>0116p-CMPN001x93_260114_LH00793_B23GCKKLT3</t>
  </si>
  <si>
    <t>Streptococcus parasanguinis (75.59%)</t>
  </si>
  <si>
    <t>Streptococcus parasanguinis (96.6%)</t>
  </si>
  <si>
    <t>Parsnp found no close relatives. Bacdist not run (best match is 039Ap-CMPN001x49_260114_LH00793_B23GCKKLT3 (26712 SNPs))</t>
  </si>
  <si>
    <t>8I</t>
  </si>
  <si>
    <t>s__Streptococcus parasanguinis</t>
  </si>
  <si>
    <t>116s</t>
  </si>
  <si>
    <t>0116s</t>
  </si>
  <si>
    <t>0116s-CMPN001x91_260114_LH00793_B23GCKKLT3</t>
  </si>
  <si>
    <t>Streptococcus salivarius (89.37%)</t>
  </si>
  <si>
    <t>Streptococcus salivarius (95.6%)</t>
  </si>
  <si>
    <t>{'0106s-CMPN001x90_260114_LH00793_B23GCKKLT3': 0}</t>
  </si>
  <si>
    <t>EXCLUDE</t>
  </si>
  <si>
    <t>8G</t>
  </si>
  <si>
    <t>129a</t>
  </si>
  <si>
    <t>0129a</t>
  </si>
  <si>
    <t>0129a-CMPN001x94_260114_LH00793_B23GCKKLT3</t>
  </si>
  <si>
    <t>Streptococcus anginosus (89.24%)</t>
  </si>
  <si>
    <t>Streptococcus anginosus (96.3%)</t>
  </si>
  <si>
    <t>Only 2 samples, parsnp not run.{'070Ca-CMPN001x08_260114_LH00793_B23GCKKLT3': 23973}</t>
  </si>
  <si>
    <t>8J</t>
  </si>
  <si>
    <t>s__Streptococcus anginosus</t>
  </si>
  <si>
    <t>129p</t>
  </si>
  <si>
    <t>0129p</t>
  </si>
  <si>
    <t>0129p-CMPN001x95_260114_LH00793_B23GCKKLT3</t>
  </si>
  <si>
    <t>Streptococcus parasanguinis (55.27%)</t>
  </si>
  <si>
    <t>Streptococcus parasanguinis (96.2%)</t>
  </si>
  <si>
    <t>Parsnp found no close relatives. Bacdist not run (best match is 150Cp-CMPN001x74_260114_LH00793_B23GCKKLT3 (22328 SNPs))</t>
  </si>
  <si>
    <t>8K</t>
  </si>
  <si>
    <t>33Ap</t>
  </si>
  <si>
    <t>033Ap</t>
  </si>
  <si>
    <t>YES</t>
  </si>
  <si>
    <t>033Ap-CMPN001x48_260114_LH00793_B23GCKKLT3</t>
  </si>
  <si>
    <t>Streptococcus parasanguinis (75.9%)</t>
  </si>
  <si>
    <t>mef(A)_2,msr(D)_2,tetA(46)_1,tetB(46)_1</t>
  </si>
  <si>
    <t>Parsnp found no close relatives. Bacdist not run (best match is 039Ap-CMPN001x49_260114_LH00793_B23GCKKLT3 (28276 SNPs))</t>
  </si>
  <si>
    <t>Ampicillin_resistant</t>
  </si>
  <si>
    <t>4L</t>
  </si>
  <si>
    <t>R13</t>
  </si>
  <si>
    <t>Marias</t>
  </si>
  <si>
    <t>33Cm</t>
  </si>
  <si>
    <t>033Cm</t>
  </si>
  <si>
    <t>033Cm-CMPN001x01_260114_LH00793_B23GCKKLT3</t>
  </si>
  <si>
    <t>Streptococcus mitis (45.93%)</t>
  </si>
  <si>
    <t>cat(pC194)_1,erm(B)_18,mef(A)_2,msr(D)_2,tet(M)_8</t>
  </si>
  <si>
    <t>Clindamycin_resistant</t>
  </si>
  <si>
    <t>1A</t>
  </si>
  <si>
    <t>R0</t>
  </si>
  <si>
    <t>39Ap</t>
  </si>
  <si>
    <t>039Ap</t>
  </si>
  <si>
    <t>039Ap-CMPN001x49_260114_LH00793_B23GCKKLT3</t>
  </si>
  <si>
    <t>Streptococcus parasanguinis (75.68%)</t>
  </si>
  <si>
    <t>Parsnp found no close relatives. Bacdist not run (best match is 0116p-CMPN001x93_260114_LH00793_B23GCKKLT3 (26712 SNPs))</t>
  </si>
  <si>
    <t>5A</t>
  </si>
  <si>
    <t>R14</t>
  </si>
  <si>
    <t>39Pp</t>
  </si>
  <si>
    <t>039Pp</t>
  </si>
  <si>
    <t>039Pp-CMPN001x39_260114_LH00793_B23GCKKLT3</t>
  </si>
  <si>
    <t>Streptococcus sp. A12 (55.34%)</t>
  </si>
  <si>
    <t>Streptococcus xiaochunlingii (96.1%)</t>
  </si>
  <si>
    <t>mef(A)_2,msr(D)_2,tet(M)_8</t>
  </si>
  <si>
    <t>Parsnp found no close relatives. Bacdist not run (best match is 146Pp-CMPN001x69_260114_LH00793_B23GCKKLT3 (46128 SNPs))</t>
  </si>
  <si>
    <t>Penicillin_resistant</t>
  </si>
  <si>
    <t>4C</t>
  </si>
  <si>
    <t>R9</t>
  </si>
  <si>
    <t>s__Streptococcus xiaochunlingii</t>
  </si>
  <si>
    <t>42Ap</t>
  </si>
  <si>
    <t>042Ap</t>
  </si>
  <si>
    <t>042Ap-CMPN001x50_260114_LH00793_B23GCKKLT3</t>
  </si>
  <si>
    <t>Streptococcus parasanguinis (57.06%)</t>
  </si>
  <si>
    <t>Streptococcus parasanguinisxC (97.1%)</t>
  </si>
  <si>
    <t>5B</t>
  </si>
  <si>
    <t>s__Streptococcus parasanguinis_C</t>
  </si>
  <si>
    <t>42Cg</t>
  </si>
  <si>
    <t>042Cg</t>
  </si>
  <si>
    <t>042Cg-CMPN001x02_260114_LH00793_B23GCKKLT3</t>
  </si>
  <si>
    <t>Streptococcus gordonii (85.7%)</t>
  </si>
  <si>
    <t>erm(B)_18,tet(M)_1</t>
  </si>
  <si>
    <t>Parsnp found no close relatives. Bacdist not run (best match is 0068g-CMPN001x82_260114_LH00793_B23GCKKLT3 (43008 SNPs))</t>
  </si>
  <si>
    <t>1B</t>
  </si>
  <si>
    <t>47As</t>
  </si>
  <si>
    <t>047As</t>
  </si>
  <si>
    <t>047As-CMPN001x51_260114_LH00793_B23GCKKLT3</t>
  </si>
  <si>
    <t>Streptococcus salivarius (85.28%)</t>
  </si>
  <si>
    <t>Streptococcus salivarius (96.8%)</t>
  </si>
  <si>
    <t>erm(B)_18,mef(A)_2,msr(D)_2,tet(M)_4</t>
  </si>
  <si>
    <t>5C</t>
  </si>
  <si>
    <t>47Cs</t>
  </si>
  <si>
    <t>047Cs</t>
  </si>
  <si>
    <t>047Cs-CMPN001x03_260114_LH00793_B23GCKKLT3</t>
  </si>
  <si>
    <t>Streptococcus salivarius (81.26%)</t>
  </si>
  <si>
    <t>Streptococcus salivarius (96.6%)</t>
  </si>
  <si>
    <t>erm(B)_18,mef(A)_2,msr(D)_2,tet(M)_8</t>
  </si>
  <si>
    <t>1C</t>
  </si>
  <si>
    <t>50Cc</t>
  </si>
  <si>
    <t>050Cc</t>
  </si>
  <si>
    <t>050Cc-CMPN001x04_260114_LH00793_B23GCKKLT3</t>
  </si>
  <si>
    <t>Streptococcus cristatus (48.55%)</t>
  </si>
  <si>
    <t>Streptococcus sp902460355 (95.5%)</t>
  </si>
  <si>
    <t>erm(B)_18,tet(M)_4</t>
  </si>
  <si>
    <t>1D</t>
  </si>
  <si>
    <t>Cristatus</t>
  </si>
  <si>
    <t>s__Streptococcus sp902460355</t>
  </si>
  <si>
    <t>53Ap</t>
  </si>
  <si>
    <t>053Ap</t>
  </si>
  <si>
    <t>053Ap-CMPN001x52_260114_LH00793_B23GCKKLT3</t>
  </si>
  <si>
    <t>Streptococcus parasanguinis (56.3%)</t>
  </si>
  <si>
    <t>Streptococcus sp900766505 (95.7%)</t>
  </si>
  <si>
    <t>Only 2 samples, parsnp not run.{'066Pp-CMPN001x40_260114_LH00793_B23GCKKLT3': 37231}</t>
  </si>
  <si>
    <t>5D</t>
  </si>
  <si>
    <t>s__Streptococcus parasanguinis_Q</t>
  </si>
  <si>
    <t>s__Streptococcus sp900766505</t>
  </si>
  <si>
    <t>62Ca</t>
  </si>
  <si>
    <t>062Ca</t>
  </si>
  <si>
    <t>062Ca-CMPN001x06_260114_LH00793_B23GCKKLT3</t>
  </si>
  <si>
    <t>Streptococcus anginosus (82.96%)</t>
  </si>
  <si>
    <t>Streptococcus anginosusxC (96.6%)</t>
  </si>
  <si>
    <t>erm(B)_18</t>
  </si>
  <si>
    <t>Parsnp found no close relatives. Bacdist not run (best match is 140Ca-CMPN001x64_260114_LH00793_B23GCKKLT3 (36039 SNPs))</t>
  </si>
  <si>
    <t>1F</t>
  </si>
  <si>
    <t>66Pp</t>
  </si>
  <si>
    <t>066Pp</t>
  </si>
  <si>
    <t>066Pp-CMPN001x40_260114_LH00793_B23GCKKLT3</t>
  </si>
  <si>
    <t>Streptococcus parasanguinis (55.72%)</t>
  </si>
  <si>
    <t>Streptococcus sp900766505 (95.9%)</t>
  </si>
  <si>
    <t>mef(A)_2,msr(D)_2,tet(O)_3,tetA(46)_1,tetB(46)_1</t>
  </si>
  <si>
    <t>Only 2 samples, parsnp not run.{'053Ap-CMPN001x52_260114_LH00793_B23GCKKLT3': 37231}</t>
  </si>
  <si>
    <t>4D</t>
  </si>
  <si>
    <t>R11</t>
  </si>
  <si>
    <t>s__Streptococcus parasanguinis_I</t>
  </si>
  <si>
    <t>69Cv</t>
  </si>
  <si>
    <t>069Cv</t>
  </si>
  <si>
    <t>069Cv-CMPN001x07_260114_LH00793_B23GCKKLT3</t>
  </si>
  <si>
    <t>Streptococcus thermophilus (17.32%)</t>
  </si>
  <si>
    <t>1G</t>
  </si>
  <si>
    <t>70Ca</t>
  </si>
  <si>
    <t>070Ca</t>
  </si>
  <si>
    <t>070Ca-CMPN001x08_260114_LH00793_B23GCKKLT3</t>
  </si>
  <si>
    <t>Streptococcus anginosus (77.95%)</t>
  </si>
  <si>
    <t>Streptococcus anginosus (95.9%)</t>
  </si>
  <si>
    <t>erm(B)_18,tet(M)_12,tet(W)_5</t>
  </si>
  <si>
    <t>Only 2 samples, parsnp not run.{'0129a-CMPN001x94_260114_LH00793_B23GCKKLT3': 23973}</t>
  </si>
  <si>
    <t>1H</t>
  </si>
  <si>
    <t>s__Streptococcus vaginalis</t>
  </si>
  <si>
    <t>74Ca</t>
  </si>
  <si>
    <t>074Ca</t>
  </si>
  <si>
    <t>074Ca-CMPN001x09_260114_LH00793_B23GCKKLT3</t>
  </si>
  <si>
    <t>Streptococcus anginosus (80.92%)</t>
  </si>
  <si>
    <t>Streptococcus anginosusxC (96.7%)</t>
  </si>
  <si>
    <t>erm(B)_18,tet(M)_12</t>
  </si>
  <si>
    <t>Parsnp found no close relatives. Bacdist not run (best match is 110Ca-CMPN001x26_260114_LH00793_B23GCKKLT3 (5768 SNPs))</t>
  </si>
  <si>
    <t>1I</t>
  </si>
  <si>
    <t>79As</t>
  </si>
  <si>
    <t>079As</t>
  </si>
  <si>
    <t>079As-CMPN001x53_260114_LH00793_B23GCKKLT3</t>
  </si>
  <si>
    <t>Streptococcus salivarius (78.26%)</t>
  </si>
  <si>
    <t>{'079Cs-CMPN001x10_260114_LH00793_B23GCKKLT3': 8}</t>
  </si>
  <si>
    <t>5E</t>
  </si>
  <si>
    <t>s__Streptococcus salivarius_E</t>
  </si>
  <si>
    <t>79Cs</t>
  </si>
  <si>
    <t>079Cs</t>
  </si>
  <si>
    <t>079Cs-CMPN001x10_260114_LH00793_B23GCKKLT3</t>
  </si>
  <si>
    <t>Streptococcus salivarius (80.51%)</t>
  </si>
  <si>
    <t>Streptococcus salivarius (96.4%)</t>
  </si>
  <si>
    <t>{'079As-CMPN001x53_260114_LH00793_B23GCKKLT3': 8}</t>
  </si>
  <si>
    <t>1J</t>
  </si>
  <si>
    <t>79Ps</t>
  </si>
  <si>
    <t>079Ps</t>
  </si>
  <si>
    <t>079Ps-CMPN001x41_260114_LH00793_B23GCKKLT3</t>
  </si>
  <si>
    <t>Streptococcus salivarius (82.14%)</t>
  </si>
  <si>
    <t>Streptococcus sp001556435 (96.3%)</t>
  </si>
  <si>
    <t>Parsnp found no close relatives. Bacdist not run (best match is 092Cv-CMPN001x15_260114_LH00793_B23GCKKLT3 (50162 SNPs))</t>
  </si>
  <si>
    <t>4E</t>
  </si>
  <si>
    <t>R7</t>
  </si>
  <si>
    <t>s__Streptococcus sp001556435</t>
  </si>
  <si>
    <t>83Cg</t>
  </si>
  <si>
    <t>083Cg</t>
  </si>
  <si>
    <t>083Cg-CMPN001x11_260114_LH00793_B23GCKKLT3</t>
  </si>
  <si>
    <t>Streptococcus gordonii (86.68%)</t>
  </si>
  <si>
    <t>Parsnp found no close relatives. Bacdist not run (best match is 042Cg-CMPN001x02_260114_LH00793_B23GCKKLT3 (61682 SNPs))</t>
  </si>
  <si>
    <t>1K</t>
  </si>
  <si>
    <t>89Cs</t>
  </si>
  <si>
    <t>089Cs</t>
  </si>
  <si>
    <t>089Cs-CMPN001x12_260114_LH00793_B23GCKKLT3</t>
  </si>
  <si>
    <t>Streptococcus salivarius (82.72%)</t>
  </si>
  <si>
    <t>Streptococcus salivarius (95.9%)</t>
  </si>
  <si>
    <t>erm(B)_18,tet(M)_13</t>
  </si>
  <si>
    <t>1L</t>
  </si>
  <si>
    <t>90Am</t>
  </si>
  <si>
    <t>090Am</t>
  </si>
  <si>
    <t>090Am-CMPN001x54_260114_LH00793_B23GCKKLT3</t>
  </si>
  <si>
    <t>Streptococcus sp. oral taxon 431 (61.18%)</t>
  </si>
  <si>
    <t>Streptococcus sp001553685 (95.5%)</t>
  </si>
  <si>
    <t>{'90Pim-CMPN001x42_260114_LH00793_B23GCKKLT3': 685}</t>
  </si>
  <si>
    <t>5F</t>
  </si>
  <si>
    <t>92Cs</t>
  </si>
  <si>
    <t>092Cs</t>
  </si>
  <si>
    <t>092Cs-CMPN001x14_260114_LH00793_B23GCKKLT3</t>
  </si>
  <si>
    <t>Streptococcus sanguinis (51.71%)</t>
  </si>
  <si>
    <t>Streptococcus sanguinis (96.3%)</t>
  </si>
  <si>
    <t>erm(B)_18,mef(A)_2,msr(D)_2,tet(M)_2</t>
  </si>
  <si>
    <t>Parsnp found no close relatives. Bacdist not run (best match is 129Cs-CMPN001x36_260114_LH00793_B23GCKKLT3 (54558 SNPs))</t>
  </si>
  <si>
    <t>2B</t>
  </si>
  <si>
    <t>s__Streptococcus sanguinis</t>
  </si>
  <si>
    <t>92Cv</t>
  </si>
  <si>
    <t>092Cv</t>
  </si>
  <si>
    <t>092Cv-CMPN001x15_260114_LH00793_B23GCKKLT3</t>
  </si>
  <si>
    <t>Streptococcus salivarius (88.3%)</t>
  </si>
  <si>
    <t>Streptococcus sp001556435 (95.9%)</t>
  </si>
  <si>
    <t>erm(B)_18,lsa(C)_1,mef(A)_2,msr(D)_2,tet(M)_4</t>
  </si>
  <si>
    <t>{'97Csv-CMPN001x17_260114_LH00793_B23GCKKLT3': 1}</t>
  </si>
  <si>
    <t>2C</t>
  </si>
  <si>
    <t>94Cm</t>
  </si>
  <si>
    <t>094Cm</t>
  </si>
  <si>
    <t>094Cm-CMPN001x16_260114_LH00793_B23GCKKLT3</t>
  </si>
  <si>
    <t>Streptococcus oralis (61.36%)</t>
  </si>
  <si>
    <t>Streptococcus oralis (95.2%)</t>
  </si>
  <si>
    <t>lsa(C)_1,lsa(C)_1,mef(A)_2,msr(D)_2,tet(M)_12</t>
  </si>
  <si>
    <t>2D</t>
  </si>
  <si>
    <t>R10</t>
  </si>
  <si>
    <t>s__Streptococcus oralis_CQ</t>
  </si>
  <si>
    <t>s__Streptococcus oralis</t>
  </si>
  <si>
    <t>98Cp</t>
  </si>
  <si>
    <t>098Cp</t>
  </si>
  <si>
    <t>098Cp-CMPN001x18_260114_LH00793_B23GCKKLT3</t>
  </si>
  <si>
    <t>Streptococcus sp. I-P16 (33.72%)</t>
  </si>
  <si>
    <t>Streptococcus koreensis (95.8%)</t>
  </si>
  <si>
    <t>erm(B)_18,mef(A)_2,msr(D)_2,tet(M)_12,tetA(46)_1,tetB(46)_1</t>
  </si>
  <si>
    <t>Only 2 samples, parsnp not run.{'98Cap-CMPN001x19_260114_LH00793_B23GCKKLT3': 9}</t>
  </si>
  <si>
    <t>2F</t>
  </si>
  <si>
    <t>R8</t>
  </si>
  <si>
    <t>s__Streptococcus ilei</t>
  </si>
  <si>
    <t>s__Streptococcus koreensis</t>
  </si>
  <si>
    <t>100Cs</t>
  </si>
  <si>
    <t>100Cs-CMPN001x20_260114_LH00793_B23GCKKLT3</t>
  </si>
  <si>
    <t>Streptococcus sanguinis (47.89%)</t>
  </si>
  <si>
    <t>Streptococcus sanguinisxG (96.9%)</t>
  </si>
  <si>
    <t>2H</t>
  </si>
  <si>
    <t>s__Streptococcus sanguinis_G</t>
  </si>
  <si>
    <t>103Cs</t>
  </si>
  <si>
    <t>103Cs-CMPN001x21_260114_LH00793_B23GCKKLT3</t>
  </si>
  <si>
    <t>Streptococcus salivarius (84.81%)</t>
  </si>
  <si>
    <t>Streptococcus salivarius (95.8%)</t>
  </si>
  <si>
    <t>lsa(C)_1</t>
  </si>
  <si>
    <t>2I</t>
  </si>
  <si>
    <t>104Ap</t>
  </si>
  <si>
    <t>104Ap-CMPN001x55_260114_LH00793_B23GCKKLT3</t>
  </si>
  <si>
    <t>Streptococcus parasanguinis (66.44%)</t>
  </si>
  <si>
    <t>Streptococcus parasanguinis (96.1%)</t>
  </si>
  <si>
    <t>mef(A)_2,msr(D)_2,tet(O)_1,tetA(46)_1,tetB(46)_1</t>
  </si>
  <si>
    <t>Parsnp found no close relatives. Bacdist not run (best match is 039Ap-CMPN001x49_260114_LH00793_B23GCKKLT3 (33350 SNPs))</t>
  </si>
  <si>
    <t>5G</t>
  </si>
  <si>
    <t>104Csv</t>
  </si>
  <si>
    <t>104Csv-CMPN001x22_260114_LH00793_B23GCKKLT3</t>
  </si>
  <si>
    <t>Streptococcus salivarius (72.94%)</t>
  </si>
  <si>
    <t>Streptococcus salivarius (96.1%)</t>
  </si>
  <si>
    <t>erm(B)_18,tet(M)_8</t>
  </si>
  <si>
    <t>2J</t>
  </si>
  <si>
    <t>105Cc</t>
  </si>
  <si>
    <t>105Cc-CMPN001x23_260114_LH00793_B23GCKKLT3</t>
  </si>
  <si>
    <t>Streptococcus cristatus (39.14%)</t>
  </si>
  <si>
    <t>Streptococcus cristatus (95.8%)</t>
  </si>
  <si>
    <t>erm(B)_18,tet(M)_2</t>
  </si>
  <si>
    <t>2K</t>
  </si>
  <si>
    <t>s__Streptococcus cristatus</t>
  </si>
  <si>
    <t>108Cap</t>
  </si>
  <si>
    <t>108Cap-CMPN001x24_260114_LH00793_B23GCKKLT3</t>
  </si>
  <si>
    <t>Streptococcus sp. A12 (51.71%)</t>
  </si>
  <si>
    <t>Streptococcus xiaochunlingii (95.4%)</t>
  </si>
  <si>
    <t>Parsnp found no close relatives. Bacdist not run (best match is 039Pp-CMPN001x39_260114_LH00793_B23GCKKLT3 (53079 SNPs))</t>
  </si>
  <si>
    <t>2L</t>
  </si>
  <si>
    <t>Australis</t>
  </si>
  <si>
    <t>s__Streptococcus sp905372335</t>
  </si>
  <si>
    <t>108Cv</t>
  </si>
  <si>
    <t>108Cv-CMPN001x25_260114_LH00793_B23GCKKLT3</t>
  </si>
  <si>
    <t>Streptococcus salivarius (90.22%)</t>
  </si>
  <si>
    <t>3A</t>
  </si>
  <si>
    <t>110Am</t>
  </si>
  <si>
    <t>110Am-CMPN001x56_260114_LH00793_B23GCKKLT3</t>
  </si>
  <si>
    <t>Streptococcus sp. oral taxon 431 (40.35%)</t>
  </si>
  <si>
    <t>Streptococcus infantisxF (95.3%)</t>
  </si>
  <si>
    <t>Only 2 samples, parsnp not run.{'118Pim-CMPN001x45_260114_LH00793_B23GCKKLT3': 28992}</t>
  </si>
  <si>
    <t>5H</t>
  </si>
  <si>
    <t>s__Streptococcus infantis_F</t>
  </si>
  <si>
    <t>110Av</t>
  </si>
  <si>
    <t>110Av-CMPN001x57_260114_LH00793_B23GCKKLT3</t>
  </si>
  <si>
    <t>Streptococcus salivarius (39.73%)</t>
  </si>
  <si>
    <t>Streptococcus vestibularis (97.7%)</t>
  </si>
  <si>
    <t>Parsnp found no close relatives. Bacdist not run (best match is 0071v-CMPN001x84_260114_LH00793_B23GCKKLT3 (24877 SNPs))</t>
  </si>
  <si>
    <t>5I</t>
  </si>
  <si>
    <t>R12</t>
  </si>
  <si>
    <t>110Ca</t>
  </si>
  <si>
    <t>110Ca-CMPN001x26_260114_LH00793_B23GCKKLT3</t>
  </si>
  <si>
    <t>Streptococcus anginosus (83.21%)</t>
  </si>
  <si>
    <t>Parsnp found no close relatives. Bacdist not run (best match is 074Ca-CMPN001x09_260114_LH00793_B23GCKKLT3 (5768 SNPs))</t>
  </si>
  <si>
    <t>3B</t>
  </si>
  <si>
    <t>110Cm</t>
  </si>
  <si>
    <t>110Cm-CMPN001x27_260114_LH00793_B23GCKKLT3</t>
  </si>
  <si>
    <t>Streptococcus sp. oral taxon 431 (56.41%)</t>
  </si>
  <si>
    <t>Streptococcus sp001808705 (95.3%)</t>
  </si>
  <si>
    <t>erm(B)_18,lsa(C)_1,mef(A)_2,msr(D)_2,tet(M)_12</t>
  </si>
  <si>
    <t>3C</t>
  </si>
  <si>
    <t>s__Streptococcus sp001808705</t>
  </si>
  <si>
    <t>111Ap</t>
  </si>
  <si>
    <t>111Ap-CMPN001x58_260114_LH00793_B23GCKKLT3</t>
  </si>
  <si>
    <t>Streptococcus parasanguinis (81.49%)</t>
  </si>
  <si>
    <t>Streptococcus parasanguinis (96.9%)</t>
  </si>
  <si>
    <t>Parsnp found no close relatives. Bacdist not run (best match is 124Ap-CMPN001x61_260114_LH00793_B23GCKKLT3 (27187 SNPs))</t>
  </si>
  <si>
    <t>5J</t>
  </si>
  <si>
    <t>111Ps</t>
  </si>
  <si>
    <t>111Ps-CMPN001x43_260114_LH00793_B23GCKKLT3</t>
  </si>
  <si>
    <t>Streptococcus sanguinis (55.63%)</t>
  </si>
  <si>
    <t>Streptococcus sanguinis (95.3%)</t>
  </si>
  <si>
    <t>Parsnp found no close relatives. Bacdist not run (best match is 120Cs-CMPN001x32_260114_LH00793_B23GCKKLT3 (77027 SNPs))</t>
  </si>
  <si>
    <t>4G</t>
  </si>
  <si>
    <t>s__Streptococcus sanguinis_R</t>
  </si>
  <si>
    <t>112Csv</t>
  </si>
  <si>
    <t>112Csv-CMPN001x28_260114_LH00793_B23GCKKLT3</t>
  </si>
  <si>
    <t>Streptococcus salivarius (77.79%)</t>
  </si>
  <si>
    <t>3D</t>
  </si>
  <si>
    <t>113Ap</t>
  </si>
  <si>
    <t>113Ap-CMPN001x59_260114_LH00793_B23GCKKLT3</t>
  </si>
  <si>
    <t>Streptococcus parasanguinis (51.9%)</t>
  </si>
  <si>
    <t>Streptococcus parasanguinisxB (95.6%)</t>
  </si>
  <si>
    <t>{'113Pp-CMPN001x44_260114_LH00793_B23GCKKLT3': 9}</t>
  </si>
  <si>
    <t>5K</t>
  </si>
  <si>
    <t>s__Streptococcus parasanguinis_B</t>
  </si>
  <si>
    <t>113Cp</t>
  </si>
  <si>
    <t>113Cp-CMPN001x29_260114_LH00793_B23GCKKLT3</t>
  </si>
  <si>
    <t>Streptococcus parasanguinis (54.53%)</t>
  </si>
  <si>
    <t>erm(B)_18,tet(M)_8,tetA(46)_1,tetB(46)_1</t>
  </si>
  <si>
    <t>Parsnp found no close relatives. Bacdist not run (best match is 113Pp-CMPN001x44_260114_LH00793_B23GCKKLT3 (67902 SNPs))</t>
  </si>
  <si>
    <t>3E</t>
  </si>
  <si>
    <t>s__Streptococcus parasanguinis_J</t>
  </si>
  <si>
    <t>113Pp</t>
  </si>
  <si>
    <t>113Pp-CMPN001x44_260114_LH00793_B23GCKKLT3</t>
  </si>
  <si>
    <t>Streptococcus parasanguinis (52.79%)</t>
  </si>
  <si>
    <t>Streptococcus parasanguinisxB (95.7%)</t>
  </si>
  <si>
    <t>{'113Ap-CMPN001x59_260114_LH00793_B23GCKKLT3': 9}</t>
  </si>
  <si>
    <t>4H</t>
  </si>
  <si>
    <t>s__Streptococcus parasanguinis_K</t>
  </si>
  <si>
    <t>114Cim</t>
  </si>
  <si>
    <t>114Cim-CMPN001x30_260114_LH00793_B23GCKKLT3</t>
  </si>
  <si>
    <t>Streptococcus sp. oral taxon 431 (54.67%)</t>
  </si>
  <si>
    <t>Streptococcus oralisxI (95.2%)</t>
  </si>
  <si>
    <t>lsa(C)_1,mef(A)_2,msr(D)_2,tet(M)_13</t>
  </si>
  <si>
    <t>Only 2 samples, parsnp not run.Fraction of ref. genome used in bacdist alignment below threshold (75%)</t>
  </si>
  <si>
    <t>3F</t>
  </si>
  <si>
    <t>Infantis</t>
  </si>
  <si>
    <t>R16</t>
  </si>
  <si>
    <t>s__Streptococcus oralis_I</t>
  </si>
  <si>
    <t>116mi</t>
  </si>
  <si>
    <t>116mi-CMPN001x92_260114_LH00793_B23GCKKLT3</t>
  </si>
  <si>
    <t>Streptococcus sp. oral taxon 431 (52.46%)</t>
  </si>
  <si>
    <t>mef(A)_2,msr(D)_2,tet(M)_12</t>
  </si>
  <si>
    <t>8H</t>
  </si>
  <si>
    <t>118Ap</t>
  </si>
  <si>
    <t>118Ap-CMPN001x60_260114_LH00793_B23GCKKLT3</t>
  </si>
  <si>
    <t>Streptococcus parasanguinis (78.27%)</t>
  </si>
  <si>
    <t>Streptococcus parasanguinis (96.8%)</t>
  </si>
  <si>
    <t>mef(A)_2,msr(D)_2,tet(M)_4,tetA(46)_1,tetB(46)_1</t>
  </si>
  <si>
    <t>{'118Pp-CMPN001x46_260114_LH00793_B23GCKKLT3': 15}</t>
  </si>
  <si>
    <t>5L</t>
  </si>
  <si>
    <t>118Cim</t>
  </si>
  <si>
    <t>118Cim-CMPN001x31_260114_LH00793_B23GCKKLT3</t>
  </si>
  <si>
    <t>Streptococcus sp. oral taxon 431 (53.15%)</t>
  </si>
  <si>
    <t>Streptococcus oralisxI (95.0%)</t>
  </si>
  <si>
    <t>Fraction of ref. genome used in bacdist alignment below threshold (75%)</t>
  </si>
  <si>
    <t>3G</t>
  </si>
  <si>
    <t>118Pim</t>
  </si>
  <si>
    <t>118Pim-CMPN001x45_260114_LH00793_B23GCKKLT3</t>
  </si>
  <si>
    <t>Streptococcus sp. oral taxon 431 (46.22%)</t>
  </si>
  <si>
    <t>Streptococcus infantisxF (95.2%)</t>
  </si>
  <si>
    <t>erm(B)_18,mef(A)_2,msr(D)_2,tet(M)_1</t>
  </si>
  <si>
    <t>Only 2 samples, parsnp not run.{'110Am-CMPN001x56_260114_LH00793_B23GCKKLT3': 28992}</t>
  </si>
  <si>
    <t>4I</t>
  </si>
  <si>
    <t>118Pp</t>
  </si>
  <si>
    <t>118Pp-CMPN001x46_260114_LH00793_B23GCKKLT3</t>
  </si>
  <si>
    <t>Streptococcus parasanguinis (79.06%)</t>
  </si>
  <si>
    <t>{'118Ap-CMPN001x60_260114_LH00793_B23GCKKLT3': 15}</t>
  </si>
  <si>
    <t>4J</t>
  </si>
  <si>
    <t>120Cs</t>
  </si>
  <si>
    <t>120Cs-CMPN001x32_260114_LH00793_B23GCKKLT3</t>
  </si>
  <si>
    <t>Streptococcus sanguinis (54.68%)</t>
  </si>
  <si>
    <t>Streptococcus sanguinis (96.4%)</t>
  </si>
  <si>
    <t>Parsnp found no close relatives. Bacdist not run (best match is 129Cs-CMPN001x36_260114_LH00793_B23GCKKLT3 (51326 SNPs))</t>
  </si>
  <si>
    <t>3H</t>
  </si>
  <si>
    <t>122Csv</t>
  </si>
  <si>
    <t>122Csv-CMPN001x33_260114_LH00793_B23GCKKLT3</t>
  </si>
  <si>
    <t>Streptococcus salivarius (82.24%)</t>
  </si>
  <si>
    <t>Streptococcus salivarius (96.2%)</t>
  </si>
  <si>
    <t>3I</t>
  </si>
  <si>
    <t>123Cs</t>
  </si>
  <si>
    <t>123Cs-CMPN001x34_260114_LH00793_B23GCKKLT3</t>
  </si>
  <si>
    <t>Streptococcus sanguinis (59.99%)</t>
  </si>
  <si>
    <t>erm(B)_18,tet(M)_5</t>
  </si>
  <si>
    <t>Only 2 samples, parsnp not run.{'0059s-CMPN001x81_260114_LH00793_B23GCKKLT3': 43852}</t>
  </si>
  <si>
    <t>3J</t>
  </si>
  <si>
    <t>123Pp</t>
  </si>
  <si>
    <t>123Pp-CMPN001x47_260114_LH00793_B23GCKKLT3</t>
  </si>
  <si>
    <t>Streptococcus parasanguinis (59.77%)</t>
  </si>
  <si>
    <t>Streptococcus parasanguinisxD (97.6%)</t>
  </si>
  <si>
    <t>Only 2 samples, parsnp not run.{'160Ap-CMPN001x77_260114_LH00793_B23GCKKLT3': 28332}</t>
  </si>
  <si>
    <t>4K</t>
  </si>
  <si>
    <t>s__Streptococcus parasanguinis_D</t>
  </si>
  <si>
    <t>124Ap</t>
  </si>
  <si>
    <t>124Ap-CMPN001x61_260114_LH00793_B23GCKKLT3</t>
  </si>
  <si>
    <t>Streptococcus parasanguinis (78.47%)</t>
  </si>
  <si>
    <t>Streptococcus parasanguinis (96.7%)</t>
  </si>
  <si>
    <t>Parsnp found no close relatives. Bacdist not run (best match is 111Ap-CMPN001x58_260114_LH00793_B23GCKKLT3 (27187 SNPs))</t>
  </si>
  <si>
    <t>6A</t>
  </si>
  <si>
    <t>127Cs</t>
  </si>
  <si>
    <t>127Cs-CMPN001x35_260114_LH00793_B23GCKKLT3</t>
  </si>
  <si>
    <t>Streptococcus salivarius (87.56%)</t>
  </si>
  <si>
    <t>3K</t>
  </si>
  <si>
    <t>129Cs</t>
  </si>
  <si>
    <t>129Cs-CMPN001x36_260114_LH00793_B23GCKKLT3</t>
  </si>
  <si>
    <t>Streptococcus sanguinis (55.29%)</t>
  </si>
  <si>
    <t>Streptococcus sanguinis (96.8%)</t>
  </si>
  <si>
    <t>Parsnp found no close relatives. Bacdist not run (best match is 120Cs-CMPN001x32_260114_LH00793_B23GCKKLT3 (51326 SNPs))</t>
  </si>
  <si>
    <t>3L</t>
  </si>
  <si>
    <t>131As</t>
  </si>
  <si>
    <t>131As-CMPN001x62_260114_LH00793_B23GCKKLT3</t>
  </si>
  <si>
    <t>Streptococcus salivarius (68.97%)</t>
  </si>
  <si>
    <t>Streptococcus salivarius (96.0%)</t>
  </si>
  <si>
    <t>6B</t>
  </si>
  <si>
    <t>131Ca</t>
  </si>
  <si>
    <t>NO</t>
  </si>
  <si>
    <t>131Ca-CMPN001x63_260114_LH00793_B23GCKKLT3</t>
  </si>
  <si>
    <t>Streptococcus anginosus (83.33%)</t>
  </si>
  <si>
    <t>Streptococcus anginosusxC (96.3%)</t>
  </si>
  <si>
    <t>Parsnp found no close relatives. Bacdist not run (best match is 140Ca-CMPN001x64_260114_LH00793_B23GCKKLT3 (39146 SNPs))</t>
  </si>
  <si>
    <t>6C</t>
  </si>
  <si>
    <t>Astrids</t>
  </si>
  <si>
    <t>131Cm</t>
  </si>
  <si>
    <t>131Cm-CMPN001x37_260114_LH00793_B23GCKKLT3</t>
  </si>
  <si>
    <t>Streptococcus sp. NPS 308 (30.45%)</t>
  </si>
  <si>
    <t>Streptococcus mitisxAZ (95.1%)</t>
  </si>
  <si>
    <t>4A</t>
  </si>
  <si>
    <t>s__Streptococcus mitis_AZ</t>
  </si>
  <si>
    <t>132Cs</t>
  </si>
  <si>
    <t>132Cs-CMPN001x38_260114_LH00793_B23GCKKLT3</t>
  </si>
  <si>
    <t>Streptococcus salivarius (89.2%)</t>
  </si>
  <si>
    <t>Streptococcus sp001556435 (96.0%)</t>
  </si>
  <si>
    <t>erm(B)_18,lsa(C)_1,tet(M)_4</t>
  </si>
  <si>
    <t>Parsnp found no close relatives. Bacdist not run (best match is 092Cv-CMPN001x15_260114_LH00793_B23GCKKLT3 (31604 SNPs))</t>
  </si>
  <si>
    <t>4B</t>
  </si>
  <si>
    <t>140Ca</t>
  </si>
  <si>
    <t>140Ca-CMPN001x64_260114_LH00793_B23GCKKLT3</t>
  </si>
  <si>
    <t>Streptococcus anginosus (83.61%)</t>
  </si>
  <si>
    <t>Streptococcus anginosusxC (96.8%)</t>
  </si>
  <si>
    <t>erm(B)_18,tet(32)_1,tet(M)_4</t>
  </si>
  <si>
    <t>Parsnp found no close relatives. Bacdist not run (best match is 074Ca-CMPN001x09_260114_LH00793_B23GCKKLT3 (30758 SNPs))</t>
  </si>
  <si>
    <t>6D</t>
  </si>
  <si>
    <t>140Cp</t>
  </si>
  <si>
    <t>140Cp-CMPN001x65_260114_LH00793_B23GCKKLT3</t>
  </si>
  <si>
    <t>Streptococcus sp. A12 (42.15%)</t>
  </si>
  <si>
    <t>Streptococcus xiaochunlingii (95.2%)</t>
  </si>
  <si>
    <t>Parsnp found no close relatives. Bacdist not run (best match is 039Pp-CMPN001x39_260114_LH00793_B23GCKKLT3 (51872 SNPs))</t>
  </si>
  <si>
    <t>6E</t>
  </si>
  <si>
    <t>s__Streptococcus sp030825805</t>
  </si>
  <si>
    <t>141Ap</t>
  </si>
  <si>
    <t>141Ap-CMPN001x66_260114_LH00793_B23GCKKLT3</t>
  </si>
  <si>
    <t>Streptococcus parasanguinis (57.5%)</t>
  </si>
  <si>
    <t>Streptococcus sp001813295 (95.7%)</t>
  </si>
  <si>
    <t>erm(B)_18,tet(M)_4,tetA(46)_1,tetB(46)_1</t>
  </si>
  <si>
    <t>Only 2 samples, parsnp not run.{'149Ap-CMPN001x71_260114_LH00793_B23GCKKLT3': 37589}</t>
  </si>
  <si>
    <t>6F</t>
  </si>
  <si>
    <t>s__Streptococcus parasanguinis_N</t>
  </si>
  <si>
    <t>s__Streptococcus sp001813295</t>
  </si>
  <si>
    <t>145Cm</t>
  </si>
  <si>
    <t>145Cm-CMPN001x68_260114_LH00793_B23GCKKLT3</t>
  </si>
  <si>
    <t>Streptococcus oralis (36.7%)</t>
  </si>
  <si>
    <t>Streptococcus oralisxK (95.8%)</t>
  </si>
  <si>
    <t>6H</t>
  </si>
  <si>
    <t>s__Streptococcus oralis_K</t>
  </si>
  <si>
    <t>145Csv</t>
  </si>
  <si>
    <t>145Csv-CMPN001x67_260114_LH00793_B23GCKKLT3</t>
  </si>
  <si>
    <t>Streptococcus oralis (36.88%)</t>
  </si>
  <si>
    <t>Streptococcus oralisxK (95.9%)</t>
  </si>
  <si>
    <t>6G</t>
  </si>
  <si>
    <t>146Pp</t>
  </si>
  <si>
    <t>146Pp-CMPN001x69_260114_LH00793_B23GCKKLT3</t>
  </si>
  <si>
    <t>Streptococcus sp. A12 (55.73%)</t>
  </si>
  <si>
    <t>Streptococcus xiaochunlingii (96.4%)</t>
  </si>
  <si>
    <t>Parsnp found no close relatives. Bacdist not run (best match is 039Pp-CMPN001x39_260114_LH00793_B23GCKKLT3 (46128 SNPs))</t>
  </si>
  <si>
    <t>6I</t>
  </si>
  <si>
    <t>148Cm</t>
  </si>
  <si>
    <t>148Cm-CMPN001x70_260114_LH00793_B23GCKKLT3</t>
  </si>
  <si>
    <t>Streptococcus oralis (55.29%)</t>
  </si>
  <si>
    <t>Streptococcus oralisxT (95.6%)</t>
  </si>
  <si>
    <t>Only 2 samples, parsnp not run.{'151Cm-CMPN001x75_260114_LH00793_B23GCKKLT3': 34760}</t>
  </si>
  <si>
    <t>6J</t>
  </si>
  <si>
    <t>s__Streptococcus sp000314775</t>
  </si>
  <si>
    <t>s__Streptococcus oralis_T</t>
  </si>
  <si>
    <t>149Ap</t>
  </si>
  <si>
    <t>149Ap-CMPN001x71_260114_LH00793_B23GCKKLT3</t>
  </si>
  <si>
    <t>Streptococcus parasanguinis (58.01%)</t>
  </si>
  <si>
    <t>Streptococcus sp001813295 (95.4%)</t>
  </si>
  <si>
    <t>Only 2 samples, parsnp not run.{'141Ap-CMPN001x66_260114_LH00793_B23GCKKLT3': 37589}</t>
  </si>
  <si>
    <t>6K</t>
  </si>
  <si>
    <t>s__Streptococcus sp036663675</t>
  </si>
  <si>
    <t>s__Streptococcus parasanguinis_E</t>
  </si>
  <si>
    <t>149As</t>
  </si>
  <si>
    <t>149As-CMPN001x72_260114_LH00793_B23GCKKLT3</t>
  </si>
  <si>
    <t>Streptococcus salivarius (86.39%)</t>
  </si>
  <si>
    <t>6L</t>
  </si>
  <si>
    <t>149Cc</t>
  </si>
  <si>
    <t>149Cc-CMPN001x73_260114_LH00793_B23GCKKLT3</t>
  </si>
  <si>
    <t>Streptococcus constellatus (37.52%)</t>
  </si>
  <si>
    <t>Streptococcus constellatus (97.5%)</t>
  </si>
  <si>
    <t>7A</t>
  </si>
  <si>
    <t>Constellatus</t>
  </si>
  <si>
    <t>s__Streptococcus constellatus</t>
  </si>
  <si>
    <t>150Cp</t>
  </si>
  <si>
    <t>150Cp-CMPN001x74_260114_LH00793_B23GCKKLT3</t>
  </si>
  <si>
    <t>Streptococcus parasanguinis (66.28%)</t>
  </si>
  <si>
    <t>Parsnp found no close relatives. Bacdist not run (best match is 0129p-CMPN001x95_260114_LH00793_B23GCKKLT3 (22328 SNPs))</t>
  </si>
  <si>
    <t>7B</t>
  </si>
  <si>
    <t>151Cm</t>
  </si>
  <si>
    <t>151Cm-CMPN001x75_260114_LH00793_B23GCKKLT3</t>
  </si>
  <si>
    <t>Streptococcus oralis (56.04%)</t>
  </si>
  <si>
    <t>Streptococcus oralisxT (95.9%)</t>
  </si>
  <si>
    <t>Only 2 samples, parsnp not run.{'148Cm-CMPN001x70_260114_LH00793_B23GCKKLT3': 34760}</t>
  </si>
  <si>
    <t>7C</t>
  </si>
  <si>
    <t>155Cvs</t>
  </si>
  <si>
    <t>155Cvs-CMPN001x76_260114_LH00793_B23GCKKLT3</t>
  </si>
  <si>
    <t>Streptococcus salivarius (80.45%)</t>
  </si>
  <si>
    <t>7D</t>
  </si>
  <si>
    <t>160Ap</t>
  </si>
  <si>
    <t>160Ap-CMPN001x77_260114_LH00793_B23GCKKLT3</t>
  </si>
  <si>
    <t>Streptococcus parasanguinis (58.34%)</t>
  </si>
  <si>
    <t>Streptococcus parasanguinisxD (97.5%)</t>
  </si>
  <si>
    <t>Only 2 samples, parsnp not run.{'123Pp-CMPN001x47_260114_LH00793_B23GCKKLT3': 28332}</t>
  </si>
  <si>
    <t>7E</t>
  </si>
  <si>
    <t>55Csv</t>
  </si>
  <si>
    <t>55Csv-CMPN001x05_260114_LH00793_B23GCKKLT3</t>
  </si>
  <si>
    <t>Streptococcus salivarius (89.06%)</t>
  </si>
  <si>
    <t>1E</t>
  </si>
  <si>
    <t>90Pim</t>
  </si>
  <si>
    <t>90Pim-CMPN001x42_260114_LH00793_B23GCKKLT3</t>
  </si>
  <si>
    <t>Streptococcus sp. oral taxon 431 (60.19%)</t>
  </si>
  <si>
    <t>Streptococcus sp001553685 (95.4%)</t>
  </si>
  <si>
    <t>{'090Am-CMPN001x54_260114_LH00793_B23GCKKLT3': 685}</t>
  </si>
  <si>
    <t>4F</t>
  </si>
  <si>
    <t>91Csv</t>
  </si>
  <si>
    <t>91Csv-CMPN001x13_260114_LH00793_B23GCKKLT3</t>
  </si>
  <si>
    <t>Streptococcus salivarius (86.91%)</t>
  </si>
  <si>
    <t>Parsnp found no close relatives. Bacdist not run (best match is 092Cv-CMPN001x15_260114_LH00793_B23GCKKLT3 (6010 SNPs))</t>
  </si>
  <si>
    <t>2A</t>
  </si>
  <si>
    <t>97Csv</t>
  </si>
  <si>
    <t>97Csv-CMPN001x17_260114_LH00793_B23GCKKLT3</t>
  </si>
  <si>
    <t>{'092Cv-CMPN001x15_260114_LH00793_B23GCKKLT3': 1}</t>
  </si>
  <si>
    <t>2E</t>
  </si>
  <si>
    <t>98Cap</t>
  </si>
  <si>
    <t>98Cap-CMPN001x19_260114_LH00793_B23GCKKLT3</t>
  </si>
  <si>
    <t>Streptococcus sp. I-P16 (33.81%)</t>
  </si>
  <si>
    <t>Only 2 samples, parsnp not run.{'098Cp-CMPN001x18_260114_LH00793_B23GCKKLT3': 9}</t>
  </si>
  <si>
    <t>2G</t>
  </si>
  <si>
    <t xml:space="preserve">Australis </t>
  </si>
  <si>
    <t>R18</t>
  </si>
  <si>
    <t>kontrol</t>
  </si>
  <si>
    <t>CMPN001xneg96-CMPN001xneg96_260114_LH00793_B23GCKKLT3</t>
  </si>
  <si>
    <t>EMPTY</t>
  </si>
  <si>
    <t>Gtdb failed. Bacdist not run</t>
  </si>
  <si>
    <t>8L</t>
  </si>
  <si>
    <t>Kontrol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</si>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</sst>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4BAB-9B31-4AA7-97A0-211097CFD95E}">
  <dimension ref="B3:Z99"/>
  <sheetViews>
    <sheetView tabSelected="1" topLeftCell="J54" workbookViewId="0">
      <selection activeCell="V87" sqref="V87"/>
    </sheetView>
  </sheetViews>
  <sheetFormatPr defaultRowHeight="15"/>
  <cols>
    <col min="2" max="2" width="18.140625" bestFit="1" customWidth="1"/>
    <col min="3" max="3" width="23" bestFit="1" customWidth="1"/>
    <col min="4" max="4" width="26.140625" bestFit="1" customWidth="1"/>
    <col min="5" max="5" width="61.42578125" bestFit="1" customWidth="1"/>
    <col min="6" max="6" width="22.7109375" bestFit="1" customWidth="1"/>
    <col min="7" max="7" width="23.7109375" bestFit="1" customWidth="1"/>
    <col min="8" max="8" width="12.5703125" bestFit="1" customWidth="1"/>
    <col min="9" max="9" width="41.85546875" bestFit="1" customWidth="1"/>
    <col min="10" max="10" width="36.7109375" bestFit="1" customWidth="1"/>
    <col min="11" max="11" width="69.42578125" bestFit="1" customWidth="1"/>
    <col min="12" max="12" width="69.28515625" customWidth="1"/>
    <col min="13" max="13" width="46.85546875" style="11" bestFit="1" customWidth="1"/>
    <col min="14" max="14" width="13.7109375" bestFit="1" customWidth="1"/>
    <col min="15" max="15" width="20.5703125" bestFit="1" customWidth="1"/>
    <col min="16" max="16" width="14.28515625" bestFit="1" customWidth="1"/>
    <col min="17" max="17" width="7.85546875" bestFit="1" customWidth="1"/>
    <col min="18" max="19" width="18.85546875" bestFit="1" customWidth="1"/>
    <col min="21" max="21" width="22.28515625" bestFit="1" customWidth="1"/>
    <col min="23" max="25" width="31.7109375" bestFit="1" customWidth="1"/>
  </cols>
  <sheetData>
    <row r="3" spans="2:26">
      <c r="B3" s="7" t="s">
        <v>0</v>
      </c>
      <c r="C3" s="7" t="s">
        <v>1</v>
      </c>
      <c r="D3" s="8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0" t="s">
        <v>11</v>
      </c>
      <c r="N3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3" t="s">
        <v>19</v>
      </c>
      <c r="W3" s="1" t="s">
        <v>20</v>
      </c>
      <c r="X3" s="1" t="s">
        <v>21</v>
      </c>
      <c r="Y3" s="1" t="s">
        <v>22</v>
      </c>
    </row>
    <row r="4" spans="2:26">
      <c r="B4" s="7" t="s">
        <v>23</v>
      </c>
      <c r="C4" s="7" t="s">
        <v>24</v>
      </c>
      <c r="D4" s="9" t="s">
        <v>25</v>
      </c>
      <c r="E4" s="1" t="s">
        <v>26</v>
      </c>
      <c r="F4" s="1" t="s">
        <v>27</v>
      </c>
      <c r="G4" s="2">
        <v>15</v>
      </c>
      <c r="H4" s="1">
        <v>1736353</v>
      </c>
      <c r="I4" s="1" t="s">
        <v>28</v>
      </c>
      <c r="J4" s="1" t="s">
        <v>29</v>
      </c>
      <c r="K4" s="1" t="s">
        <v>30</v>
      </c>
      <c r="L4" s="1" t="s">
        <v>31</v>
      </c>
      <c r="M4" s="10" t="s">
        <v>32</v>
      </c>
      <c r="N4" t="b">
        <f>Q4=B4</f>
        <v>1</v>
      </c>
      <c r="O4" s="4"/>
      <c r="P4" s="4" t="s">
        <v>33</v>
      </c>
      <c r="Q4" s="4" t="s">
        <v>23</v>
      </c>
      <c r="R4" s="4" t="s">
        <v>34</v>
      </c>
      <c r="S4" s="3" t="s">
        <v>34</v>
      </c>
      <c r="T4" s="4" t="s">
        <v>35</v>
      </c>
      <c r="U4" s="3" t="s">
        <v>36</v>
      </c>
      <c r="W4" s="1" t="s">
        <v>37</v>
      </c>
      <c r="X4" s="1" t="s">
        <v>37</v>
      </c>
      <c r="Y4" s="1" t="s">
        <v>37</v>
      </c>
      <c r="Z4" s="12" t="b">
        <f>Y4=X4</f>
        <v>1</v>
      </c>
    </row>
    <row r="5" spans="2:26">
      <c r="B5" s="7" t="s">
        <v>38</v>
      </c>
      <c r="C5" s="7" t="s">
        <v>39</v>
      </c>
      <c r="D5" s="9" t="s">
        <v>25</v>
      </c>
      <c r="E5" s="1" t="s">
        <v>40</v>
      </c>
      <c r="F5" s="1" t="s">
        <v>27</v>
      </c>
      <c r="G5" s="2">
        <v>22</v>
      </c>
      <c r="H5" s="1">
        <v>1986905</v>
      </c>
      <c r="I5" s="1" t="s">
        <v>41</v>
      </c>
      <c r="J5" s="1" t="s">
        <v>42</v>
      </c>
      <c r="K5" s="1" t="s">
        <v>43</v>
      </c>
      <c r="L5" s="1" t="s">
        <v>44</v>
      </c>
      <c r="M5" s="10" t="s">
        <v>32</v>
      </c>
      <c r="N5" t="b">
        <f>Q5=B5</f>
        <v>1</v>
      </c>
      <c r="O5" s="5"/>
      <c r="P5" s="4" t="s">
        <v>45</v>
      </c>
      <c r="Q5" s="4" t="s">
        <v>38</v>
      </c>
      <c r="R5" s="4" t="s">
        <v>34</v>
      </c>
      <c r="S5" s="3" t="s">
        <v>34</v>
      </c>
      <c r="T5" s="4" t="s">
        <v>35</v>
      </c>
      <c r="U5" s="3" t="s">
        <v>36</v>
      </c>
      <c r="W5" s="1" t="s">
        <v>46</v>
      </c>
      <c r="X5" s="1" t="s">
        <v>47</v>
      </c>
      <c r="Y5" s="1" t="s">
        <v>47</v>
      </c>
      <c r="Z5" t="b">
        <f t="shared" ref="Z5:Z68" si="0">Y5=X5</f>
        <v>1</v>
      </c>
    </row>
    <row r="6" spans="2:26">
      <c r="B6" s="7" t="s">
        <v>48</v>
      </c>
      <c r="C6" s="7" t="s">
        <v>49</v>
      </c>
      <c r="D6" s="9" t="s">
        <v>25</v>
      </c>
      <c r="E6" s="1" t="s">
        <v>50</v>
      </c>
      <c r="F6" s="1" t="s">
        <v>27</v>
      </c>
      <c r="G6" s="2">
        <v>51</v>
      </c>
      <c r="H6" s="1">
        <v>1949352</v>
      </c>
      <c r="I6" s="1" t="s">
        <v>51</v>
      </c>
      <c r="J6" s="1" t="s">
        <v>52</v>
      </c>
      <c r="K6" s="1"/>
      <c r="L6" s="1" t="s">
        <v>53</v>
      </c>
      <c r="M6" s="10" t="s">
        <v>32</v>
      </c>
      <c r="N6" t="b">
        <f>Q6=B6</f>
        <v>1</v>
      </c>
      <c r="O6" s="5"/>
      <c r="P6" s="4" t="s">
        <v>54</v>
      </c>
      <c r="Q6" s="4" t="s">
        <v>48</v>
      </c>
      <c r="R6" s="4" t="s">
        <v>55</v>
      </c>
      <c r="S6" s="3" t="s">
        <v>55</v>
      </c>
      <c r="T6" s="4" t="s">
        <v>35</v>
      </c>
      <c r="U6" s="3" t="s">
        <v>36</v>
      </c>
      <c r="W6" s="1" t="s">
        <v>56</v>
      </c>
      <c r="X6" s="1" t="s">
        <v>57</v>
      </c>
      <c r="Y6" s="1" t="s">
        <v>57</v>
      </c>
      <c r="Z6" t="b">
        <f t="shared" si="0"/>
        <v>1</v>
      </c>
    </row>
    <row r="7" spans="2:26">
      <c r="B7" s="7" t="s">
        <v>58</v>
      </c>
      <c r="C7" s="7" t="s">
        <v>59</v>
      </c>
      <c r="D7" s="9" t="s">
        <v>25</v>
      </c>
      <c r="E7" s="1" t="s">
        <v>60</v>
      </c>
      <c r="F7" s="1" t="s">
        <v>27</v>
      </c>
      <c r="G7" s="2">
        <v>31</v>
      </c>
      <c r="H7" s="1">
        <v>2359974</v>
      </c>
      <c r="I7" s="1" t="s">
        <v>61</v>
      </c>
      <c r="J7" s="1" t="s">
        <v>62</v>
      </c>
      <c r="K7" s="1"/>
      <c r="L7" s="1" t="s">
        <v>63</v>
      </c>
      <c r="M7" s="10" t="s">
        <v>32</v>
      </c>
      <c r="N7" t="b">
        <f>Q7=B7</f>
        <v>1</v>
      </c>
      <c r="O7" s="5"/>
      <c r="P7" s="4" t="s">
        <v>64</v>
      </c>
      <c r="Q7" s="4" t="s">
        <v>58</v>
      </c>
      <c r="R7" s="4" t="s">
        <v>65</v>
      </c>
      <c r="S7" s="3" t="s">
        <v>65</v>
      </c>
      <c r="T7" s="4" t="s">
        <v>35</v>
      </c>
      <c r="U7" s="3" t="s">
        <v>36</v>
      </c>
      <c r="W7" s="1" t="s">
        <v>66</v>
      </c>
      <c r="X7" s="1" t="s">
        <v>66</v>
      </c>
      <c r="Y7" s="1" t="s">
        <v>66</v>
      </c>
      <c r="Z7" t="b">
        <f t="shared" si="0"/>
        <v>1</v>
      </c>
    </row>
    <row r="8" spans="2:26">
      <c r="B8" s="7" t="s">
        <v>67</v>
      </c>
      <c r="C8" s="7" t="s">
        <v>68</v>
      </c>
      <c r="D8" s="9" t="s">
        <v>25</v>
      </c>
      <c r="E8" s="1" t="s">
        <v>69</v>
      </c>
      <c r="F8" s="1" t="s">
        <v>27</v>
      </c>
      <c r="G8" s="2">
        <v>18</v>
      </c>
      <c r="H8" s="1">
        <v>2242707</v>
      </c>
      <c r="I8" s="1" t="s">
        <v>70</v>
      </c>
      <c r="J8" s="1" t="s">
        <v>71</v>
      </c>
      <c r="K8" s="1"/>
      <c r="L8" s="1" t="s">
        <v>72</v>
      </c>
      <c r="M8" s="10" t="s">
        <v>32</v>
      </c>
      <c r="N8" t="b">
        <f>Q8=B8</f>
        <v>1</v>
      </c>
      <c r="O8" s="5"/>
      <c r="P8" s="4" t="s">
        <v>73</v>
      </c>
      <c r="Q8" s="4" t="s">
        <v>67</v>
      </c>
      <c r="R8" s="4" t="s">
        <v>74</v>
      </c>
      <c r="S8" s="3" t="s">
        <v>74</v>
      </c>
      <c r="T8" s="4" t="s">
        <v>35</v>
      </c>
      <c r="U8" s="3" t="s">
        <v>36</v>
      </c>
      <c r="W8" s="1" t="s">
        <v>75</v>
      </c>
      <c r="X8" s="1" t="s">
        <v>75</v>
      </c>
      <c r="Y8" s="1" t="s">
        <v>75</v>
      </c>
      <c r="Z8" t="b">
        <f t="shared" si="0"/>
        <v>1</v>
      </c>
    </row>
    <row r="9" spans="2:26">
      <c r="B9" s="7" t="s">
        <v>76</v>
      </c>
      <c r="C9" s="7" t="s">
        <v>77</v>
      </c>
      <c r="D9" s="9" t="s">
        <v>25</v>
      </c>
      <c r="E9" s="1" t="s">
        <v>78</v>
      </c>
      <c r="F9" s="1" t="s">
        <v>27</v>
      </c>
      <c r="G9" s="2">
        <v>162</v>
      </c>
      <c r="H9" s="1">
        <v>2105310</v>
      </c>
      <c r="I9" s="1" t="s">
        <v>79</v>
      </c>
      <c r="J9" s="1" t="s">
        <v>29</v>
      </c>
      <c r="K9" s="1" t="s">
        <v>80</v>
      </c>
      <c r="L9" s="1" t="s">
        <v>31</v>
      </c>
      <c r="M9" s="10" t="s">
        <v>32</v>
      </c>
      <c r="N9" t="b">
        <f>Q9=B9</f>
        <v>1</v>
      </c>
      <c r="O9" s="5"/>
      <c r="P9" s="4" t="s">
        <v>81</v>
      </c>
      <c r="Q9" s="4" t="s">
        <v>76</v>
      </c>
      <c r="R9" s="4" t="s">
        <v>34</v>
      </c>
      <c r="S9" s="3" t="s">
        <v>34</v>
      </c>
      <c r="T9" s="4" t="s">
        <v>35</v>
      </c>
      <c r="U9" s="3" t="s">
        <v>36</v>
      </c>
      <c r="W9" s="1" t="s">
        <v>37</v>
      </c>
      <c r="X9" s="1" t="s">
        <v>37</v>
      </c>
      <c r="Y9" s="1" t="s">
        <v>37</v>
      </c>
      <c r="Z9" t="b">
        <f t="shared" si="0"/>
        <v>1</v>
      </c>
    </row>
    <row r="10" spans="2:26">
      <c r="B10" s="7" t="s">
        <v>82</v>
      </c>
      <c r="C10" s="7" t="s">
        <v>83</v>
      </c>
      <c r="D10" s="9" t="s">
        <v>25</v>
      </c>
      <c r="E10" s="1" t="s">
        <v>84</v>
      </c>
      <c r="F10" s="1" t="s">
        <v>27</v>
      </c>
      <c r="G10" s="2">
        <v>183</v>
      </c>
      <c r="H10" s="1">
        <v>2041091</v>
      </c>
      <c r="I10" s="1" t="s">
        <v>85</v>
      </c>
      <c r="J10" s="1" t="s">
        <v>86</v>
      </c>
      <c r="K10" s="1"/>
      <c r="L10" s="1" t="s">
        <v>87</v>
      </c>
      <c r="M10" s="10" t="s">
        <v>32</v>
      </c>
      <c r="N10" t="b">
        <f>Q10=B10</f>
        <v>1</v>
      </c>
      <c r="O10" s="5"/>
      <c r="P10" s="4" t="s">
        <v>88</v>
      </c>
      <c r="Q10" s="4" t="s">
        <v>82</v>
      </c>
      <c r="R10" s="4" t="s">
        <v>89</v>
      </c>
      <c r="S10" s="3" t="s">
        <v>89</v>
      </c>
      <c r="T10" s="4" t="s">
        <v>35</v>
      </c>
      <c r="U10" s="3" t="s">
        <v>36</v>
      </c>
      <c r="W10" s="1" t="s">
        <v>90</v>
      </c>
      <c r="X10" s="1" t="s">
        <v>90</v>
      </c>
      <c r="Y10" s="1" t="s">
        <v>90</v>
      </c>
      <c r="Z10" t="b">
        <f t="shared" si="0"/>
        <v>1</v>
      </c>
    </row>
    <row r="11" spans="2:26">
      <c r="B11" s="7" t="s">
        <v>91</v>
      </c>
      <c r="C11" s="7" t="s">
        <v>92</v>
      </c>
      <c r="D11" s="9" t="s">
        <v>25</v>
      </c>
      <c r="E11" s="1" t="s">
        <v>93</v>
      </c>
      <c r="F11" s="1" t="s">
        <v>27</v>
      </c>
      <c r="G11" s="2">
        <v>146</v>
      </c>
      <c r="H11" s="1">
        <v>2014823</v>
      </c>
      <c r="I11" s="1" t="s">
        <v>94</v>
      </c>
      <c r="J11" s="1" t="s">
        <v>95</v>
      </c>
      <c r="K11" s="1" t="s">
        <v>30</v>
      </c>
      <c r="L11" s="1" t="s">
        <v>96</v>
      </c>
      <c r="M11" s="10" t="s">
        <v>32</v>
      </c>
      <c r="N11" t="b">
        <f>Q11=B11</f>
        <v>1</v>
      </c>
      <c r="O11" s="5"/>
      <c r="P11" s="4" t="s">
        <v>97</v>
      </c>
      <c r="Q11" s="4" t="s">
        <v>91</v>
      </c>
      <c r="R11" s="4" t="s">
        <v>34</v>
      </c>
      <c r="S11" s="3" t="s">
        <v>34</v>
      </c>
      <c r="T11" s="4" t="s">
        <v>35</v>
      </c>
      <c r="U11" s="3" t="s">
        <v>36</v>
      </c>
      <c r="W11" s="1" t="s">
        <v>37</v>
      </c>
      <c r="X11" s="1" t="s">
        <v>98</v>
      </c>
      <c r="Y11" s="1" t="s">
        <v>98</v>
      </c>
      <c r="Z11" t="b">
        <f t="shared" si="0"/>
        <v>1</v>
      </c>
    </row>
    <row r="12" spans="2:26">
      <c r="B12" s="7" t="s">
        <v>99</v>
      </c>
      <c r="C12" s="7" t="s">
        <v>100</v>
      </c>
      <c r="D12" s="9" t="s">
        <v>25</v>
      </c>
      <c r="E12" s="1" t="s">
        <v>101</v>
      </c>
      <c r="F12" s="1" t="s">
        <v>102</v>
      </c>
      <c r="G12" s="2">
        <v>186</v>
      </c>
      <c r="H12" s="1">
        <v>4138567</v>
      </c>
      <c r="I12" s="1" t="s">
        <v>103</v>
      </c>
      <c r="J12" s="1" t="s">
        <v>29</v>
      </c>
      <c r="K12" s="1" t="s">
        <v>104</v>
      </c>
      <c r="L12" s="1" t="s">
        <v>31</v>
      </c>
      <c r="M12" s="10" t="s">
        <v>32</v>
      </c>
      <c r="N12" t="b">
        <f>Q12=B12</f>
        <v>1</v>
      </c>
      <c r="O12" s="5"/>
      <c r="P12" s="6" t="s">
        <v>105</v>
      </c>
      <c r="Q12" s="6" t="s">
        <v>99</v>
      </c>
      <c r="R12" s="6" t="s">
        <v>106</v>
      </c>
      <c r="S12" s="3" t="s">
        <v>106</v>
      </c>
      <c r="T12" s="4" t="s">
        <v>35</v>
      </c>
      <c r="U12" s="3" t="s">
        <v>36</v>
      </c>
      <c r="W12" s="1" t="s">
        <v>107</v>
      </c>
      <c r="X12" s="1" t="s">
        <v>107</v>
      </c>
      <c r="Y12" s="1" t="s">
        <v>107</v>
      </c>
      <c r="Z12" t="b">
        <f t="shared" si="0"/>
        <v>1</v>
      </c>
    </row>
    <row r="13" spans="2:26">
      <c r="B13" s="7" t="s">
        <v>108</v>
      </c>
      <c r="C13" s="7" t="s">
        <v>109</v>
      </c>
      <c r="D13" s="9" t="s">
        <v>25</v>
      </c>
      <c r="E13" s="1" t="s">
        <v>110</v>
      </c>
      <c r="F13" s="1" t="s">
        <v>27</v>
      </c>
      <c r="G13" s="2">
        <v>164</v>
      </c>
      <c r="H13" s="1">
        <v>2069538</v>
      </c>
      <c r="I13" s="1" t="s">
        <v>111</v>
      </c>
      <c r="J13" s="1" t="s">
        <v>112</v>
      </c>
      <c r="K13" s="1"/>
      <c r="L13" s="1" t="s">
        <v>113</v>
      </c>
      <c r="M13" s="10" t="s">
        <v>32</v>
      </c>
      <c r="N13" t="b">
        <f>Q13=B13</f>
        <v>1</v>
      </c>
      <c r="O13" s="5"/>
      <c r="P13" s="4" t="s">
        <v>114</v>
      </c>
      <c r="Q13" s="4" t="s">
        <v>108</v>
      </c>
      <c r="R13" s="4" t="s">
        <v>89</v>
      </c>
      <c r="S13" s="3" t="s">
        <v>89</v>
      </c>
      <c r="T13" s="4" t="s">
        <v>35</v>
      </c>
      <c r="U13" s="3" t="s">
        <v>36</v>
      </c>
      <c r="W13" s="1" t="s">
        <v>90</v>
      </c>
      <c r="X13" s="1" t="s">
        <v>90</v>
      </c>
      <c r="Y13" s="1" t="s">
        <v>90</v>
      </c>
      <c r="Z13" t="b">
        <f t="shared" si="0"/>
        <v>1</v>
      </c>
    </row>
    <row r="14" spans="2:26">
      <c r="B14" s="7" t="s">
        <v>115</v>
      </c>
      <c r="C14" s="7" t="s">
        <v>116</v>
      </c>
      <c r="D14" s="9" t="s">
        <v>25</v>
      </c>
      <c r="E14" s="1" t="s">
        <v>117</v>
      </c>
      <c r="F14" s="1" t="s">
        <v>27</v>
      </c>
      <c r="G14" s="2">
        <v>78</v>
      </c>
      <c r="H14" s="1">
        <v>2188462</v>
      </c>
      <c r="I14" s="1" t="s">
        <v>118</v>
      </c>
      <c r="J14" s="1" t="s">
        <v>119</v>
      </c>
      <c r="K14" s="1"/>
      <c r="L14" s="1" t="s">
        <v>120</v>
      </c>
      <c r="M14" s="10" t="s">
        <v>32</v>
      </c>
      <c r="N14" t="b">
        <f>Q14=B14</f>
        <v>1</v>
      </c>
      <c r="O14" s="5"/>
      <c r="P14" s="4" t="s">
        <v>121</v>
      </c>
      <c r="Q14" s="4" t="s">
        <v>115</v>
      </c>
      <c r="R14" s="4" t="s">
        <v>122</v>
      </c>
      <c r="S14" s="3" t="s">
        <v>122</v>
      </c>
      <c r="T14" s="4" t="s">
        <v>35</v>
      </c>
      <c r="U14" s="3" t="s">
        <v>36</v>
      </c>
      <c r="W14" s="1" t="s">
        <v>123</v>
      </c>
      <c r="X14" s="1" t="s">
        <v>124</v>
      </c>
      <c r="Y14" s="1" t="s">
        <v>124</v>
      </c>
      <c r="Z14" t="b">
        <f t="shared" si="0"/>
        <v>1</v>
      </c>
    </row>
    <row r="15" spans="2:26">
      <c r="B15" s="7" t="s">
        <v>125</v>
      </c>
      <c r="C15" s="7" t="s">
        <v>126</v>
      </c>
      <c r="D15" s="9" t="s">
        <v>25</v>
      </c>
      <c r="E15" s="1" t="s">
        <v>127</v>
      </c>
      <c r="F15" s="1" t="s">
        <v>27</v>
      </c>
      <c r="G15" s="2">
        <v>27</v>
      </c>
      <c r="H15" s="1">
        <v>2225589</v>
      </c>
      <c r="I15" s="1" t="s">
        <v>128</v>
      </c>
      <c r="J15" s="1" t="s">
        <v>129</v>
      </c>
      <c r="K15" s="1"/>
      <c r="L15" s="1" t="s">
        <v>130</v>
      </c>
      <c r="M15" s="10" t="s">
        <v>32</v>
      </c>
      <c r="N15" t="b">
        <f>Q15=B15</f>
        <v>1</v>
      </c>
      <c r="O15" s="5"/>
      <c r="P15" s="4" t="s">
        <v>131</v>
      </c>
      <c r="Q15" s="4" t="s">
        <v>125</v>
      </c>
      <c r="R15" s="4" t="s">
        <v>74</v>
      </c>
      <c r="S15" s="3" t="s">
        <v>74</v>
      </c>
      <c r="T15" s="4" t="s">
        <v>35</v>
      </c>
      <c r="U15" s="3" t="s">
        <v>36</v>
      </c>
      <c r="W15" s="1" t="s">
        <v>75</v>
      </c>
      <c r="X15" s="1" t="s">
        <v>75</v>
      </c>
      <c r="Y15" s="1" t="s">
        <v>75</v>
      </c>
      <c r="Z15" t="b">
        <f t="shared" si="0"/>
        <v>1</v>
      </c>
    </row>
    <row r="16" spans="2:26">
      <c r="B16" s="7" t="s">
        <v>132</v>
      </c>
      <c r="C16" s="7" t="s">
        <v>133</v>
      </c>
      <c r="D16" s="9" t="s">
        <v>25</v>
      </c>
      <c r="E16" s="1" t="s">
        <v>134</v>
      </c>
      <c r="F16" s="1" t="s">
        <v>27</v>
      </c>
      <c r="G16" s="2">
        <v>102</v>
      </c>
      <c r="H16" s="1">
        <v>2275745</v>
      </c>
      <c r="I16" s="1" t="s">
        <v>135</v>
      </c>
      <c r="J16" s="1" t="s">
        <v>119</v>
      </c>
      <c r="K16" s="1"/>
      <c r="L16" s="1" t="s">
        <v>136</v>
      </c>
      <c r="M16" s="10" t="s">
        <v>137</v>
      </c>
      <c r="N16" t="b">
        <f>Q16=B16</f>
        <v>1</v>
      </c>
      <c r="O16" s="5"/>
      <c r="P16" s="4" t="s">
        <v>138</v>
      </c>
      <c r="Q16" s="4" t="s">
        <v>132</v>
      </c>
      <c r="R16" s="4" t="s">
        <v>122</v>
      </c>
      <c r="S16" s="3" t="s">
        <v>122</v>
      </c>
      <c r="T16" s="4" t="s">
        <v>35</v>
      </c>
      <c r="U16" s="3" t="s">
        <v>36</v>
      </c>
      <c r="W16" s="1" t="s">
        <v>123</v>
      </c>
      <c r="X16" s="1" t="s">
        <v>124</v>
      </c>
      <c r="Y16" s="1" t="s">
        <v>124</v>
      </c>
      <c r="Z16" t="b">
        <f t="shared" si="0"/>
        <v>1</v>
      </c>
    </row>
    <row r="17" spans="2:26">
      <c r="B17" s="7" t="s">
        <v>139</v>
      </c>
      <c r="C17" s="7" t="s">
        <v>140</v>
      </c>
      <c r="D17" s="9" t="s">
        <v>25</v>
      </c>
      <c r="E17" s="1" t="s">
        <v>141</v>
      </c>
      <c r="F17" s="1" t="s">
        <v>27</v>
      </c>
      <c r="G17" s="2">
        <v>64</v>
      </c>
      <c r="H17" s="1">
        <v>2174363</v>
      </c>
      <c r="I17" s="1" t="s">
        <v>142</v>
      </c>
      <c r="J17" s="1" t="s">
        <v>143</v>
      </c>
      <c r="K17" s="1" t="s">
        <v>104</v>
      </c>
      <c r="L17" s="1" t="s">
        <v>144</v>
      </c>
      <c r="M17" s="10" t="s">
        <v>32</v>
      </c>
      <c r="N17" t="b">
        <f>Q17=B17</f>
        <v>1</v>
      </c>
      <c r="O17" s="5"/>
      <c r="P17" s="4" t="s">
        <v>145</v>
      </c>
      <c r="Q17" s="4" t="s">
        <v>139</v>
      </c>
      <c r="R17" s="4" t="s">
        <v>106</v>
      </c>
      <c r="S17" s="3" t="s">
        <v>106</v>
      </c>
      <c r="T17" s="4"/>
      <c r="U17" s="3" t="s">
        <v>36</v>
      </c>
      <c r="W17" s="1" t="s">
        <v>146</v>
      </c>
      <c r="X17" s="1" t="s">
        <v>146</v>
      </c>
      <c r="Y17" s="1" t="s">
        <v>146</v>
      </c>
      <c r="Z17" t="b">
        <f t="shared" si="0"/>
        <v>1</v>
      </c>
    </row>
    <row r="18" spans="2:26">
      <c r="B18" s="7" t="s">
        <v>147</v>
      </c>
      <c r="C18" s="7" t="s">
        <v>148</v>
      </c>
      <c r="D18" s="9" t="s">
        <v>25</v>
      </c>
      <c r="E18" s="1" t="s">
        <v>149</v>
      </c>
      <c r="F18" s="1" t="s">
        <v>27</v>
      </c>
      <c r="G18" s="2">
        <v>81</v>
      </c>
      <c r="H18" s="1">
        <v>2284047</v>
      </c>
      <c r="I18" s="1" t="s">
        <v>150</v>
      </c>
      <c r="J18" s="1" t="s">
        <v>151</v>
      </c>
      <c r="K18" s="1"/>
      <c r="L18" s="1" t="s">
        <v>152</v>
      </c>
      <c r="M18" s="10" t="s">
        <v>153</v>
      </c>
      <c r="N18" t="b">
        <f>Q18=B18</f>
        <v>1</v>
      </c>
      <c r="O18" s="5"/>
      <c r="P18" s="4" t="s">
        <v>154</v>
      </c>
      <c r="Q18" s="4" t="s">
        <v>147</v>
      </c>
      <c r="R18" s="4" t="s">
        <v>122</v>
      </c>
      <c r="S18" s="3" t="s">
        <v>122</v>
      </c>
      <c r="T18" s="4"/>
      <c r="U18" s="3" t="s">
        <v>36</v>
      </c>
      <c r="W18" s="1" t="s">
        <v>123</v>
      </c>
      <c r="X18" s="1" t="s">
        <v>124</v>
      </c>
      <c r="Y18" s="1" t="s">
        <v>124</v>
      </c>
      <c r="Z18" t="b">
        <f t="shared" si="0"/>
        <v>1</v>
      </c>
    </row>
    <row r="19" spans="2:26">
      <c r="B19" s="7" t="s">
        <v>155</v>
      </c>
      <c r="C19" s="7" t="s">
        <v>156</v>
      </c>
      <c r="D19" s="9" t="s">
        <v>25</v>
      </c>
      <c r="E19" s="1" t="s">
        <v>157</v>
      </c>
      <c r="F19" s="1" t="s">
        <v>27</v>
      </c>
      <c r="G19" s="2">
        <v>22</v>
      </c>
      <c r="H19" s="1">
        <v>1999349</v>
      </c>
      <c r="I19" s="1" t="s">
        <v>158</v>
      </c>
      <c r="J19" s="1" t="s">
        <v>159</v>
      </c>
      <c r="K19" s="1"/>
      <c r="L19" s="1" t="s">
        <v>160</v>
      </c>
      <c r="M19" s="10" t="s">
        <v>32</v>
      </c>
      <c r="N19" t="b">
        <f>Q19=B19</f>
        <v>1</v>
      </c>
      <c r="O19" s="5"/>
      <c r="P19" s="4" t="s">
        <v>161</v>
      </c>
      <c r="Q19" s="4" t="s">
        <v>155</v>
      </c>
      <c r="R19" s="4" t="s">
        <v>55</v>
      </c>
      <c r="S19" s="3" t="s">
        <v>55</v>
      </c>
      <c r="T19" s="4"/>
      <c r="U19" s="3" t="s">
        <v>36</v>
      </c>
      <c r="W19" s="1" t="s">
        <v>162</v>
      </c>
      <c r="X19" s="1" t="s">
        <v>162</v>
      </c>
      <c r="Y19" s="1" t="s">
        <v>162</v>
      </c>
      <c r="Z19" t="b">
        <f t="shared" si="0"/>
        <v>1</v>
      </c>
    </row>
    <row r="20" spans="2:26">
      <c r="B20" s="7" t="s">
        <v>163</v>
      </c>
      <c r="C20" s="7" t="s">
        <v>164</v>
      </c>
      <c r="D20" s="9" t="s">
        <v>25</v>
      </c>
      <c r="E20" s="1" t="s">
        <v>165</v>
      </c>
      <c r="F20" s="1" t="s">
        <v>27</v>
      </c>
      <c r="G20" s="2">
        <v>95</v>
      </c>
      <c r="H20" s="1">
        <v>2224867</v>
      </c>
      <c r="I20" s="1" t="s">
        <v>166</v>
      </c>
      <c r="J20" s="1" t="s">
        <v>167</v>
      </c>
      <c r="K20" s="1" t="s">
        <v>104</v>
      </c>
      <c r="L20" s="1" t="s">
        <v>168</v>
      </c>
      <c r="M20" s="10" t="s">
        <v>32</v>
      </c>
      <c r="N20" t="b">
        <f>Q20=B20</f>
        <v>1</v>
      </c>
      <c r="O20" s="5"/>
      <c r="P20" s="4" t="s">
        <v>169</v>
      </c>
      <c r="Q20" s="4" t="s">
        <v>163</v>
      </c>
      <c r="R20" s="4" t="s">
        <v>106</v>
      </c>
      <c r="S20" s="3" t="s">
        <v>106</v>
      </c>
      <c r="T20" s="4"/>
      <c r="U20" s="3" t="s">
        <v>36</v>
      </c>
      <c r="W20" s="1" t="s">
        <v>146</v>
      </c>
      <c r="X20" s="1" t="s">
        <v>146</v>
      </c>
      <c r="Y20" s="1" t="s">
        <v>146</v>
      </c>
      <c r="Z20" t="b">
        <f t="shared" si="0"/>
        <v>1</v>
      </c>
    </row>
    <row r="21" spans="2:26">
      <c r="B21" s="7" t="s">
        <v>170</v>
      </c>
      <c r="C21" s="7" t="s">
        <v>171</v>
      </c>
      <c r="D21" s="9" t="s">
        <v>172</v>
      </c>
      <c r="E21" s="1" t="s">
        <v>173</v>
      </c>
      <c r="F21" s="1" t="s">
        <v>27</v>
      </c>
      <c r="G21" s="2">
        <v>80</v>
      </c>
      <c r="H21" s="1">
        <v>2190021</v>
      </c>
      <c r="I21" s="1" t="s">
        <v>174</v>
      </c>
      <c r="J21" s="1" t="s">
        <v>167</v>
      </c>
      <c r="K21" s="1" t="s">
        <v>175</v>
      </c>
      <c r="L21" s="1" t="s">
        <v>176</v>
      </c>
      <c r="M21" s="10" t="s">
        <v>32</v>
      </c>
      <c r="N21" t="b">
        <f>Q21=B21</f>
        <v>1</v>
      </c>
      <c r="O21" s="5" t="s">
        <v>177</v>
      </c>
      <c r="P21" s="4" t="s">
        <v>178</v>
      </c>
      <c r="Q21" s="4" t="s">
        <v>170</v>
      </c>
      <c r="R21" s="4" t="s">
        <v>106</v>
      </c>
      <c r="S21" s="3" t="s">
        <v>106</v>
      </c>
      <c r="T21" s="4" t="s">
        <v>179</v>
      </c>
      <c r="U21" s="3" t="s">
        <v>180</v>
      </c>
      <c r="W21" s="1" t="s">
        <v>146</v>
      </c>
      <c r="X21" s="1" t="s">
        <v>146</v>
      </c>
      <c r="Y21" s="1" t="s">
        <v>146</v>
      </c>
      <c r="Z21" t="b">
        <f t="shared" si="0"/>
        <v>1</v>
      </c>
    </row>
    <row r="22" spans="2:26">
      <c r="B22" s="7" t="s">
        <v>181</v>
      </c>
      <c r="C22" s="7" t="s">
        <v>182</v>
      </c>
      <c r="D22" s="9" t="s">
        <v>172</v>
      </c>
      <c r="E22" s="1" t="s">
        <v>183</v>
      </c>
      <c r="F22" s="1" t="s">
        <v>27</v>
      </c>
      <c r="G22" s="2">
        <v>88</v>
      </c>
      <c r="H22" s="1">
        <v>1908324</v>
      </c>
      <c r="I22" s="1" t="s">
        <v>184</v>
      </c>
      <c r="J22" s="1" t="s">
        <v>29</v>
      </c>
      <c r="K22" s="1" t="s">
        <v>185</v>
      </c>
      <c r="L22" s="1" t="s">
        <v>31</v>
      </c>
      <c r="M22" s="10" t="s">
        <v>32</v>
      </c>
      <c r="N22" t="b">
        <f>Q22=B22</f>
        <v>1</v>
      </c>
      <c r="O22" s="4" t="s">
        <v>186</v>
      </c>
      <c r="P22" s="4" t="s">
        <v>187</v>
      </c>
      <c r="Q22" s="4" t="s">
        <v>181</v>
      </c>
      <c r="R22" s="4" t="s">
        <v>34</v>
      </c>
      <c r="S22" s="4" t="s">
        <v>34</v>
      </c>
      <c r="T22" s="4" t="s">
        <v>188</v>
      </c>
      <c r="U22" s="3" t="s">
        <v>180</v>
      </c>
      <c r="W22" s="1" t="s">
        <v>37</v>
      </c>
      <c r="X22" s="1" t="s">
        <v>37</v>
      </c>
      <c r="Y22" s="1" t="s">
        <v>37</v>
      </c>
      <c r="Z22" t="b">
        <f t="shared" si="0"/>
        <v>1</v>
      </c>
    </row>
    <row r="23" spans="2:26">
      <c r="B23" s="7" t="s">
        <v>189</v>
      </c>
      <c r="C23" s="7" t="s">
        <v>190</v>
      </c>
      <c r="D23" s="9" t="s">
        <v>172</v>
      </c>
      <c r="E23" s="1" t="s">
        <v>191</v>
      </c>
      <c r="F23" s="1" t="s">
        <v>27</v>
      </c>
      <c r="G23" s="2">
        <v>71</v>
      </c>
      <c r="H23" s="1">
        <v>2256318</v>
      </c>
      <c r="I23" s="1" t="s">
        <v>192</v>
      </c>
      <c r="J23" s="1" t="s">
        <v>143</v>
      </c>
      <c r="K23" s="1" t="s">
        <v>175</v>
      </c>
      <c r="L23" s="1" t="s">
        <v>193</v>
      </c>
      <c r="M23" s="10" t="s">
        <v>32</v>
      </c>
      <c r="N23" t="b">
        <f>Q23=B23</f>
        <v>1</v>
      </c>
      <c r="O23" s="5" t="s">
        <v>177</v>
      </c>
      <c r="P23" s="4" t="s">
        <v>194</v>
      </c>
      <c r="Q23" s="4" t="s">
        <v>189</v>
      </c>
      <c r="R23" s="4" t="s">
        <v>106</v>
      </c>
      <c r="S23" s="3" t="s">
        <v>106</v>
      </c>
      <c r="T23" s="4" t="s">
        <v>195</v>
      </c>
      <c r="U23" s="3" t="s">
        <v>180</v>
      </c>
      <c r="W23" s="1" t="s">
        <v>146</v>
      </c>
      <c r="X23" s="1" t="s">
        <v>146</v>
      </c>
      <c r="Y23" s="1" t="s">
        <v>146</v>
      </c>
      <c r="Z23" t="b">
        <f t="shared" si="0"/>
        <v>1</v>
      </c>
    </row>
    <row r="24" spans="2:26">
      <c r="B24" s="7" t="s">
        <v>196</v>
      </c>
      <c r="C24" s="7" t="s">
        <v>197</v>
      </c>
      <c r="D24" s="9" t="s">
        <v>172</v>
      </c>
      <c r="E24" s="1" t="s">
        <v>198</v>
      </c>
      <c r="F24" s="1" t="s">
        <v>27</v>
      </c>
      <c r="G24" s="2">
        <v>16</v>
      </c>
      <c r="H24" s="1">
        <v>2023869</v>
      </c>
      <c r="I24" s="1" t="s">
        <v>199</v>
      </c>
      <c r="J24" s="1" t="s">
        <v>200</v>
      </c>
      <c r="K24" s="1" t="s">
        <v>201</v>
      </c>
      <c r="L24" s="1" t="s">
        <v>202</v>
      </c>
      <c r="M24" s="10" t="s">
        <v>32</v>
      </c>
      <c r="N24" t="b">
        <f>Q24=B24</f>
        <v>1</v>
      </c>
      <c r="O24" s="5" t="s">
        <v>203</v>
      </c>
      <c r="P24" s="4" t="s">
        <v>204</v>
      </c>
      <c r="Q24" s="4" t="s">
        <v>196</v>
      </c>
      <c r="R24" s="4" t="s">
        <v>106</v>
      </c>
      <c r="S24" s="3" t="s">
        <v>106</v>
      </c>
      <c r="T24" s="4" t="s">
        <v>205</v>
      </c>
      <c r="U24" s="3" t="s">
        <v>180</v>
      </c>
      <c r="W24" s="1" t="s">
        <v>206</v>
      </c>
      <c r="X24" s="1" t="s">
        <v>206</v>
      </c>
      <c r="Y24" s="1" t="s">
        <v>206</v>
      </c>
      <c r="Z24" t="b">
        <f t="shared" si="0"/>
        <v>1</v>
      </c>
    </row>
    <row r="25" spans="2:26">
      <c r="B25" s="7" t="s">
        <v>207</v>
      </c>
      <c r="C25" s="7" t="s">
        <v>208</v>
      </c>
      <c r="D25" s="9" t="s">
        <v>172</v>
      </c>
      <c r="E25" s="1" t="s">
        <v>209</v>
      </c>
      <c r="F25" s="1" t="s">
        <v>27</v>
      </c>
      <c r="G25" s="2">
        <v>42</v>
      </c>
      <c r="H25" s="1">
        <v>1970565</v>
      </c>
      <c r="I25" s="1" t="s">
        <v>210</v>
      </c>
      <c r="J25" s="1" t="s">
        <v>211</v>
      </c>
      <c r="K25" s="1" t="s">
        <v>104</v>
      </c>
      <c r="L25" s="1" t="s">
        <v>44</v>
      </c>
      <c r="M25" s="10" t="s">
        <v>32</v>
      </c>
      <c r="N25" t="b">
        <f>Q25=B25</f>
        <v>1</v>
      </c>
      <c r="O25" s="5" t="s">
        <v>177</v>
      </c>
      <c r="P25" s="4" t="s">
        <v>212</v>
      </c>
      <c r="Q25" s="4" t="s">
        <v>207</v>
      </c>
      <c r="R25" s="4" t="s">
        <v>106</v>
      </c>
      <c r="S25" s="3" t="s">
        <v>106</v>
      </c>
      <c r="T25" s="4" t="s">
        <v>195</v>
      </c>
      <c r="U25" s="3" t="s">
        <v>180</v>
      </c>
      <c r="W25" s="1" t="s">
        <v>213</v>
      </c>
      <c r="X25" s="1" t="s">
        <v>213</v>
      </c>
      <c r="Y25" s="1" t="s">
        <v>213</v>
      </c>
      <c r="Z25" t="b">
        <f t="shared" si="0"/>
        <v>1</v>
      </c>
    </row>
    <row r="26" spans="2:26">
      <c r="B26" s="7" t="s">
        <v>214</v>
      </c>
      <c r="C26" s="7" t="s">
        <v>215</v>
      </c>
      <c r="D26" s="9" t="s">
        <v>172</v>
      </c>
      <c r="E26" s="1" t="s">
        <v>216</v>
      </c>
      <c r="F26" s="1" t="s">
        <v>27</v>
      </c>
      <c r="G26" s="2">
        <v>39</v>
      </c>
      <c r="H26" s="1">
        <v>2260099</v>
      </c>
      <c r="I26" s="1" t="s">
        <v>217</v>
      </c>
      <c r="J26" s="1" t="s">
        <v>71</v>
      </c>
      <c r="K26" s="1" t="s">
        <v>218</v>
      </c>
      <c r="L26" s="1" t="s">
        <v>219</v>
      </c>
      <c r="M26" s="10" t="s">
        <v>32</v>
      </c>
      <c r="N26" t="b">
        <f>Q26=B26</f>
        <v>1</v>
      </c>
      <c r="O26" s="5" t="s">
        <v>186</v>
      </c>
      <c r="P26" s="4" t="s">
        <v>220</v>
      </c>
      <c r="Q26" s="4" t="s">
        <v>214</v>
      </c>
      <c r="R26" s="4" t="s">
        <v>74</v>
      </c>
      <c r="S26" s="4" t="s">
        <v>74</v>
      </c>
      <c r="T26" s="4" t="s">
        <v>188</v>
      </c>
      <c r="U26" s="3" t="s">
        <v>180</v>
      </c>
      <c r="W26" s="1" t="s">
        <v>75</v>
      </c>
      <c r="X26" s="1" t="s">
        <v>75</v>
      </c>
      <c r="Y26" s="1" t="s">
        <v>75</v>
      </c>
      <c r="Z26" t="b">
        <f t="shared" si="0"/>
        <v>1</v>
      </c>
    </row>
    <row r="27" spans="2:26">
      <c r="B27" s="7" t="s">
        <v>221</v>
      </c>
      <c r="C27" s="7" t="s">
        <v>222</v>
      </c>
      <c r="D27" s="9" t="s">
        <v>172</v>
      </c>
      <c r="E27" s="1" t="s">
        <v>223</v>
      </c>
      <c r="F27" s="1" t="s">
        <v>27</v>
      </c>
      <c r="G27" s="2">
        <v>72</v>
      </c>
      <c r="H27" s="1">
        <v>2108568</v>
      </c>
      <c r="I27" s="1" t="s">
        <v>224</v>
      </c>
      <c r="J27" s="1" t="s">
        <v>225</v>
      </c>
      <c r="K27" s="1" t="s">
        <v>226</v>
      </c>
      <c r="L27" s="1" t="s">
        <v>120</v>
      </c>
      <c r="M27" s="10" t="s">
        <v>32</v>
      </c>
      <c r="N27" t="b">
        <f>Q27=B27</f>
        <v>1</v>
      </c>
      <c r="O27" s="5" t="s">
        <v>177</v>
      </c>
      <c r="P27" s="4" t="s">
        <v>227</v>
      </c>
      <c r="Q27" s="4" t="s">
        <v>221</v>
      </c>
      <c r="R27" s="4" t="s">
        <v>122</v>
      </c>
      <c r="S27" s="3" t="s">
        <v>122</v>
      </c>
      <c r="T27" s="4" t="s">
        <v>195</v>
      </c>
      <c r="U27" s="3" t="s">
        <v>180</v>
      </c>
      <c r="W27" s="1" t="s">
        <v>124</v>
      </c>
      <c r="X27" s="1" t="s">
        <v>124</v>
      </c>
      <c r="Y27" s="1" t="s">
        <v>124</v>
      </c>
      <c r="Z27" t="b">
        <f t="shared" si="0"/>
        <v>1</v>
      </c>
    </row>
    <row r="28" spans="2:26">
      <c r="B28" s="7" t="s">
        <v>228</v>
      </c>
      <c r="C28" s="7" t="s">
        <v>229</v>
      </c>
      <c r="D28" s="9" t="s">
        <v>172</v>
      </c>
      <c r="E28" s="1" t="s">
        <v>230</v>
      </c>
      <c r="F28" s="1" t="s">
        <v>27</v>
      </c>
      <c r="G28" s="2">
        <v>92</v>
      </c>
      <c r="H28" s="1">
        <v>2333817</v>
      </c>
      <c r="I28" s="1" t="s">
        <v>231</v>
      </c>
      <c r="J28" s="1" t="s">
        <v>232</v>
      </c>
      <c r="K28" s="1" t="s">
        <v>233</v>
      </c>
      <c r="L28" s="1" t="s">
        <v>120</v>
      </c>
      <c r="M28" s="10" t="s">
        <v>32</v>
      </c>
      <c r="N28" t="b">
        <f>Q28=B28</f>
        <v>1</v>
      </c>
      <c r="O28" s="5" t="s">
        <v>186</v>
      </c>
      <c r="P28" s="4" t="s">
        <v>234</v>
      </c>
      <c r="Q28" s="4" t="s">
        <v>228</v>
      </c>
      <c r="R28" s="4" t="s">
        <v>122</v>
      </c>
      <c r="S28" s="4" t="s">
        <v>122</v>
      </c>
      <c r="T28" s="4" t="s">
        <v>188</v>
      </c>
      <c r="U28" s="3" t="s">
        <v>180</v>
      </c>
      <c r="W28" s="1" t="s">
        <v>124</v>
      </c>
      <c r="X28" s="1" t="s">
        <v>124</v>
      </c>
      <c r="Y28" s="1" t="s">
        <v>124</v>
      </c>
      <c r="Z28" t="b">
        <f t="shared" si="0"/>
        <v>1</v>
      </c>
    </row>
    <row r="29" spans="2:26">
      <c r="B29" s="7" t="s">
        <v>235</v>
      </c>
      <c r="C29" s="7" t="s">
        <v>236</v>
      </c>
      <c r="D29" s="9" t="s">
        <v>172</v>
      </c>
      <c r="E29" s="1" t="s">
        <v>237</v>
      </c>
      <c r="F29" s="1" t="s">
        <v>27</v>
      </c>
      <c r="G29" s="2">
        <v>89</v>
      </c>
      <c r="H29" s="1">
        <v>2048900</v>
      </c>
      <c r="I29" s="1" t="s">
        <v>238</v>
      </c>
      <c r="J29" s="1" t="s">
        <v>239</v>
      </c>
      <c r="K29" s="1" t="s">
        <v>240</v>
      </c>
      <c r="L29" s="1" t="s">
        <v>44</v>
      </c>
      <c r="M29" s="10" t="s">
        <v>32</v>
      </c>
      <c r="N29" t="b">
        <f>Q29=B29</f>
        <v>1</v>
      </c>
      <c r="O29" s="5" t="s">
        <v>186</v>
      </c>
      <c r="P29" s="4" t="s">
        <v>241</v>
      </c>
      <c r="Q29" s="4" t="s">
        <v>235</v>
      </c>
      <c r="R29" s="4" t="s">
        <v>242</v>
      </c>
      <c r="S29" s="4" t="s">
        <v>242</v>
      </c>
      <c r="T29" s="4" t="s">
        <v>188</v>
      </c>
      <c r="U29" s="3" t="s">
        <v>180</v>
      </c>
      <c r="W29" s="1" t="s">
        <v>243</v>
      </c>
      <c r="X29" s="1" t="s">
        <v>243</v>
      </c>
      <c r="Y29" s="1" t="s">
        <v>243</v>
      </c>
      <c r="Z29" t="b">
        <f t="shared" si="0"/>
        <v>1</v>
      </c>
    </row>
    <row r="30" spans="2:26">
      <c r="B30" s="7" t="s">
        <v>244</v>
      </c>
      <c r="C30" s="7" t="s">
        <v>245</v>
      </c>
      <c r="D30" s="9" t="s">
        <v>172</v>
      </c>
      <c r="E30" s="1" t="s">
        <v>246</v>
      </c>
      <c r="F30" s="1" t="s">
        <v>27</v>
      </c>
      <c r="G30" s="2">
        <v>47</v>
      </c>
      <c r="H30" s="1">
        <v>2094091</v>
      </c>
      <c r="I30" s="1" t="s">
        <v>247</v>
      </c>
      <c r="J30" s="1" t="s">
        <v>248</v>
      </c>
      <c r="K30" s="1" t="s">
        <v>104</v>
      </c>
      <c r="L30" s="1" t="s">
        <v>249</v>
      </c>
      <c r="M30" s="10" t="s">
        <v>32</v>
      </c>
      <c r="N30" t="b">
        <f>Q30=B30</f>
        <v>1</v>
      </c>
      <c r="O30" s="5" t="s">
        <v>177</v>
      </c>
      <c r="P30" s="4" t="s">
        <v>250</v>
      </c>
      <c r="Q30" s="4" t="s">
        <v>244</v>
      </c>
      <c r="R30" s="4" t="s">
        <v>106</v>
      </c>
      <c r="S30" s="3" t="s">
        <v>106</v>
      </c>
      <c r="T30" s="4" t="s">
        <v>179</v>
      </c>
      <c r="U30" s="3" t="s">
        <v>180</v>
      </c>
      <c r="W30" s="1" t="s">
        <v>251</v>
      </c>
      <c r="X30" s="1" t="s">
        <v>252</v>
      </c>
      <c r="Y30" s="1" t="s">
        <v>252</v>
      </c>
      <c r="Z30" t="b">
        <f t="shared" si="0"/>
        <v>1</v>
      </c>
    </row>
    <row r="31" spans="2:26">
      <c r="B31" s="7" t="s">
        <v>253</v>
      </c>
      <c r="C31" s="7" t="s">
        <v>254</v>
      </c>
      <c r="D31" s="9" t="s">
        <v>172</v>
      </c>
      <c r="E31" s="1" t="s">
        <v>255</v>
      </c>
      <c r="F31" s="1" t="s">
        <v>27</v>
      </c>
      <c r="G31" s="2">
        <v>43</v>
      </c>
      <c r="H31" s="1">
        <v>1913547</v>
      </c>
      <c r="I31" s="1" t="s">
        <v>256</v>
      </c>
      <c r="J31" s="1" t="s">
        <v>257</v>
      </c>
      <c r="K31" s="1" t="s">
        <v>258</v>
      </c>
      <c r="L31" s="1" t="s">
        <v>259</v>
      </c>
      <c r="M31" s="10" t="s">
        <v>32</v>
      </c>
      <c r="N31" t="b">
        <f>Q31=B31</f>
        <v>1</v>
      </c>
      <c r="O31" s="5" t="s">
        <v>186</v>
      </c>
      <c r="P31" s="4" t="s">
        <v>260</v>
      </c>
      <c r="Q31" s="4" t="s">
        <v>253</v>
      </c>
      <c r="R31" s="4" t="s">
        <v>55</v>
      </c>
      <c r="S31" s="3" t="s">
        <v>55</v>
      </c>
      <c r="T31" s="4" t="s">
        <v>188</v>
      </c>
      <c r="U31" s="3" t="s">
        <v>180</v>
      </c>
      <c r="W31" s="1" t="s">
        <v>56</v>
      </c>
      <c r="X31" s="1" t="s">
        <v>57</v>
      </c>
      <c r="Y31" s="1" t="s">
        <v>57</v>
      </c>
      <c r="Z31" t="b">
        <f t="shared" si="0"/>
        <v>1</v>
      </c>
    </row>
    <row r="32" spans="2:26">
      <c r="B32" s="7" t="s">
        <v>261</v>
      </c>
      <c r="C32" s="7" t="s">
        <v>262</v>
      </c>
      <c r="D32" s="9" t="s">
        <v>172</v>
      </c>
      <c r="E32" s="1" t="s">
        <v>263</v>
      </c>
      <c r="F32" s="1" t="s">
        <v>27</v>
      </c>
      <c r="G32" s="2">
        <v>29</v>
      </c>
      <c r="H32" s="1">
        <v>2134229</v>
      </c>
      <c r="I32" s="1" t="s">
        <v>264</v>
      </c>
      <c r="J32" s="1" t="s">
        <v>265</v>
      </c>
      <c r="K32" s="1" t="s">
        <v>266</v>
      </c>
      <c r="L32" s="1" t="s">
        <v>267</v>
      </c>
      <c r="M32" s="10" t="s">
        <v>32</v>
      </c>
      <c r="N32" t="b">
        <f>Q32=B32</f>
        <v>1</v>
      </c>
      <c r="O32" s="5" t="s">
        <v>203</v>
      </c>
      <c r="P32" s="4" t="s">
        <v>268</v>
      </c>
      <c r="Q32" s="4" t="s">
        <v>261</v>
      </c>
      <c r="R32" s="4" t="s">
        <v>106</v>
      </c>
      <c r="S32" s="3" t="s">
        <v>106</v>
      </c>
      <c r="T32" s="4" t="s">
        <v>269</v>
      </c>
      <c r="U32" s="3" t="s">
        <v>180</v>
      </c>
      <c r="W32" s="1" t="s">
        <v>270</v>
      </c>
      <c r="X32" s="1" t="s">
        <v>252</v>
      </c>
      <c r="Y32" s="1" t="s">
        <v>252</v>
      </c>
      <c r="Z32" t="b">
        <f t="shared" si="0"/>
        <v>1</v>
      </c>
    </row>
    <row r="33" spans="2:26">
      <c r="B33" s="7" t="s">
        <v>271</v>
      </c>
      <c r="C33" s="7" t="s">
        <v>272</v>
      </c>
      <c r="D33" s="9" t="s">
        <v>172</v>
      </c>
      <c r="E33" s="1" t="s">
        <v>273</v>
      </c>
      <c r="F33" s="1" t="s">
        <v>27</v>
      </c>
      <c r="G33" s="2">
        <v>163</v>
      </c>
      <c r="H33" s="1">
        <v>2041060</v>
      </c>
      <c r="I33" s="1" t="s">
        <v>274</v>
      </c>
      <c r="J33" s="1" t="s">
        <v>29</v>
      </c>
      <c r="K33" s="1" t="s">
        <v>218</v>
      </c>
      <c r="L33" s="1" t="s">
        <v>31</v>
      </c>
      <c r="M33" s="10" t="s">
        <v>32</v>
      </c>
      <c r="N33" t="b">
        <f>Q33=B33</f>
        <v>1</v>
      </c>
      <c r="O33" s="5" t="s">
        <v>186</v>
      </c>
      <c r="P33" s="4" t="s">
        <v>275</v>
      </c>
      <c r="Q33" s="4" t="s">
        <v>271</v>
      </c>
      <c r="R33" s="4" t="s">
        <v>89</v>
      </c>
      <c r="S33" s="3" t="s">
        <v>89</v>
      </c>
      <c r="T33" s="4" t="s">
        <v>188</v>
      </c>
      <c r="U33" s="3" t="s">
        <v>180</v>
      </c>
      <c r="W33" s="1" t="s">
        <v>37</v>
      </c>
      <c r="X33" s="1" t="s">
        <v>37</v>
      </c>
      <c r="Y33" s="1" t="s">
        <v>37</v>
      </c>
      <c r="Z33" t="b">
        <f t="shared" si="0"/>
        <v>1</v>
      </c>
    </row>
    <row r="34" spans="2:26">
      <c r="B34" s="7" t="s">
        <v>276</v>
      </c>
      <c r="C34" s="7" t="s">
        <v>277</v>
      </c>
      <c r="D34" s="9" t="s">
        <v>172</v>
      </c>
      <c r="E34" s="1" t="s">
        <v>278</v>
      </c>
      <c r="F34" s="1" t="s">
        <v>27</v>
      </c>
      <c r="G34" s="2">
        <v>16</v>
      </c>
      <c r="H34" s="1">
        <v>1883481</v>
      </c>
      <c r="I34" s="1" t="s">
        <v>279</v>
      </c>
      <c r="J34" s="1" t="s">
        <v>280</v>
      </c>
      <c r="K34" s="1" t="s">
        <v>281</v>
      </c>
      <c r="L34" s="1" t="s">
        <v>282</v>
      </c>
      <c r="M34" s="10" t="s">
        <v>32</v>
      </c>
      <c r="N34" t="b">
        <f>Q34=B34</f>
        <v>1</v>
      </c>
      <c r="O34" s="5" t="s">
        <v>186</v>
      </c>
      <c r="P34" s="4" t="s">
        <v>283</v>
      </c>
      <c r="Q34" s="4" t="s">
        <v>276</v>
      </c>
      <c r="R34" s="4" t="s">
        <v>55</v>
      </c>
      <c r="S34" s="3" t="s">
        <v>55</v>
      </c>
      <c r="T34" s="4" t="s">
        <v>188</v>
      </c>
      <c r="U34" s="3" t="s">
        <v>180</v>
      </c>
      <c r="W34" s="1" t="s">
        <v>284</v>
      </c>
      <c r="X34" s="1" t="s">
        <v>162</v>
      </c>
      <c r="Y34" s="1" t="s">
        <v>162</v>
      </c>
      <c r="Z34" t="b">
        <f t="shared" si="0"/>
        <v>1</v>
      </c>
    </row>
    <row r="35" spans="2:26">
      <c r="B35" s="7" t="s">
        <v>285</v>
      </c>
      <c r="C35" s="7" t="s">
        <v>286</v>
      </c>
      <c r="D35" s="9" t="s">
        <v>172</v>
      </c>
      <c r="E35" s="1" t="s">
        <v>287</v>
      </c>
      <c r="F35" s="1" t="s">
        <v>27</v>
      </c>
      <c r="G35" s="2">
        <v>51</v>
      </c>
      <c r="H35" s="1">
        <v>1966913</v>
      </c>
      <c r="I35" s="1" t="s">
        <v>288</v>
      </c>
      <c r="J35" s="1" t="s">
        <v>289</v>
      </c>
      <c r="K35" s="1" t="s">
        <v>290</v>
      </c>
      <c r="L35" s="1" t="s">
        <v>291</v>
      </c>
      <c r="M35" s="10" t="s">
        <v>32</v>
      </c>
      <c r="N35" t="b">
        <f>Q35=B35</f>
        <v>1</v>
      </c>
      <c r="O35" s="5" t="s">
        <v>186</v>
      </c>
      <c r="P35" s="4" t="s">
        <v>292</v>
      </c>
      <c r="Q35" s="4" t="s">
        <v>285</v>
      </c>
      <c r="R35" s="4" t="s">
        <v>55</v>
      </c>
      <c r="S35" s="3" t="s">
        <v>55</v>
      </c>
      <c r="T35" s="4" t="s">
        <v>188</v>
      </c>
      <c r="U35" s="3" t="s">
        <v>180</v>
      </c>
      <c r="W35" s="1" t="s">
        <v>56</v>
      </c>
      <c r="X35" s="1" t="s">
        <v>57</v>
      </c>
      <c r="Y35" s="1" t="s">
        <v>57</v>
      </c>
      <c r="Z35" t="b">
        <f t="shared" si="0"/>
        <v>1</v>
      </c>
    </row>
    <row r="36" spans="2:26">
      <c r="B36" s="7" t="s">
        <v>293</v>
      </c>
      <c r="C36" s="7" t="s">
        <v>294</v>
      </c>
      <c r="D36" s="9" t="s">
        <v>172</v>
      </c>
      <c r="E36" s="1" t="s">
        <v>295</v>
      </c>
      <c r="F36" s="1" t="s">
        <v>27</v>
      </c>
      <c r="G36" s="2">
        <v>73</v>
      </c>
      <c r="H36" s="1">
        <v>2183568</v>
      </c>
      <c r="I36" s="1" t="s">
        <v>296</v>
      </c>
      <c r="J36" s="1" t="s">
        <v>232</v>
      </c>
      <c r="K36" s="1" t="s">
        <v>218</v>
      </c>
      <c r="L36" s="1" t="s">
        <v>297</v>
      </c>
      <c r="M36" s="10" t="s">
        <v>32</v>
      </c>
      <c r="N36" t="b">
        <f>Q36=B36</f>
        <v>1</v>
      </c>
      <c r="O36" s="5" t="s">
        <v>177</v>
      </c>
      <c r="P36" s="4" t="s">
        <v>298</v>
      </c>
      <c r="Q36" s="4" t="s">
        <v>293</v>
      </c>
      <c r="R36" s="4" t="s">
        <v>122</v>
      </c>
      <c r="S36" s="3" t="s">
        <v>122</v>
      </c>
      <c r="T36" s="4" t="s">
        <v>269</v>
      </c>
      <c r="U36" s="3" t="s">
        <v>180</v>
      </c>
      <c r="W36" s="1" t="s">
        <v>299</v>
      </c>
      <c r="X36" s="1" t="s">
        <v>124</v>
      </c>
      <c r="Y36" s="1" t="s">
        <v>124</v>
      </c>
      <c r="Z36" t="b">
        <f t="shared" si="0"/>
        <v>1</v>
      </c>
    </row>
    <row r="37" spans="2:26">
      <c r="B37" s="7" t="s">
        <v>300</v>
      </c>
      <c r="C37" s="7" t="s">
        <v>301</v>
      </c>
      <c r="D37" s="9" t="s">
        <v>172</v>
      </c>
      <c r="E37" s="1" t="s">
        <v>302</v>
      </c>
      <c r="F37" s="1" t="s">
        <v>27</v>
      </c>
      <c r="G37" s="2">
        <v>35</v>
      </c>
      <c r="H37" s="1">
        <v>2323777</v>
      </c>
      <c r="I37" s="1" t="s">
        <v>303</v>
      </c>
      <c r="J37" s="1" t="s">
        <v>304</v>
      </c>
      <c r="K37" s="1" t="s">
        <v>218</v>
      </c>
      <c r="L37" s="1" t="s">
        <v>305</v>
      </c>
      <c r="M37" s="10" t="s">
        <v>32</v>
      </c>
      <c r="N37" t="b">
        <f>Q37=B37</f>
        <v>1</v>
      </c>
      <c r="O37" s="5" t="s">
        <v>186</v>
      </c>
      <c r="P37" s="4" t="s">
        <v>306</v>
      </c>
      <c r="Q37" s="4" t="s">
        <v>300</v>
      </c>
      <c r="R37" s="4" t="s">
        <v>122</v>
      </c>
      <c r="S37" s="3" t="s">
        <v>122</v>
      </c>
      <c r="T37" s="4" t="s">
        <v>188</v>
      </c>
      <c r="U37" s="3" t="s">
        <v>180</v>
      </c>
      <c r="W37" s="1" t="s">
        <v>124</v>
      </c>
      <c r="X37" s="1" t="s">
        <v>124</v>
      </c>
      <c r="Y37" s="1" t="s">
        <v>124</v>
      </c>
      <c r="Z37" t="b">
        <f t="shared" si="0"/>
        <v>1</v>
      </c>
    </row>
    <row r="38" spans="2:26">
      <c r="B38" s="7" t="s">
        <v>307</v>
      </c>
      <c r="C38" s="7" t="s">
        <v>308</v>
      </c>
      <c r="D38" s="9" t="s">
        <v>172</v>
      </c>
      <c r="E38" s="1" t="s">
        <v>309</v>
      </c>
      <c r="F38" s="1" t="s">
        <v>27</v>
      </c>
      <c r="G38" s="2">
        <v>91</v>
      </c>
      <c r="H38" s="1">
        <v>2210971</v>
      </c>
      <c r="I38" s="1" t="s">
        <v>310</v>
      </c>
      <c r="J38" s="1" t="s">
        <v>311</v>
      </c>
      <c r="K38" s="1" t="s">
        <v>30</v>
      </c>
      <c r="L38" s="1" t="s">
        <v>312</v>
      </c>
      <c r="M38" s="10" t="s">
        <v>32</v>
      </c>
      <c r="N38" t="b">
        <f>Q38=B38</f>
        <v>1</v>
      </c>
      <c r="O38" s="5" t="s">
        <v>203</v>
      </c>
      <c r="P38" s="4" t="s">
        <v>313</v>
      </c>
      <c r="Q38" s="4" t="s">
        <v>307</v>
      </c>
      <c r="R38" s="4" t="s">
        <v>122</v>
      </c>
      <c r="S38" s="3" t="s">
        <v>122</v>
      </c>
      <c r="T38" s="4" t="s">
        <v>314</v>
      </c>
      <c r="U38" s="3" t="s">
        <v>180</v>
      </c>
      <c r="W38" s="1" t="s">
        <v>315</v>
      </c>
      <c r="X38" s="1" t="s">
        <v>315</v>
      </c>
      <c r="Y38" s="1" t="s">
        <v>315</v>
      </c>
      <c r="Z38" t="b">
        <f t="shared" si="0"/>
        <v>1</v>
      </c>
    </row>
    <row r="39" spans="2:26">
      <c r="B39" s="7" t="s">
        <v>316</v>
      </c>
      <c r="C39" s="7" t="s">
        <v>317</v>
      </c>
      <c r="D39" s="9" t="s">
        <v>172</v>
      </c>
      <c r="E39" s="1" t="s">
        <v>318</v>
      </c>
      <c r="F39" s="1" t="s">
        <v>27</v>
      </c>
      <c r="G39" s="2">
        <v>21</v>
      </c>
      <c r="H39" s="1">
        <v>2242331</v>
      </c>
      <c r="I39" s="1" t="s">
        <v>319</v>
      </c>
      <c r="J39" s="1" t="s">
        <v>71</v>
      </c>
      <c r="K39" s="1" t="s">
        <v>240</v>
      </c>
      <c r="L39" s="1" t="s">
        <v>320</v>
      </c>
      <c r="M39" s="10" t="s">
        <v>32</v>
      </c>
      <c r="N39" t="b">
        <f>Q39=B39</f>
        <v>1</v>
      </c>
      <c r="O39" s="5" t="s">
        <v>186</v>
      </c>
      <c r="P39" s="4" t="s">
        <v>321</v>
      </c>
      <c r="Q39" s="4" t="s">
        <v>316</v>
      </c>
      <c r="R39" s="4" t="s">
        <v>74</v>
      </c>
      <c r="S39" s="3" t="s">
        <v>74</v>
      </c>
      <c r="T39" s="4" t="s">
        <v>188</v>
      </c>
      <c r="U39" s="3" t="s">
        <v>180</v>
      </c>
      <c r="W39" s="1" t="s">
        <v>75</v>
      </c>
      <c r="X39" s="1" t="s">
        <v>75</v>
      </c>
      <c r="Y39" s="1" t="s">
        <v>75</v>
      </c>
      <c r="Z39" t="b">
        <f t="shared" si="0"/>
        <v>1</v>
      </c>
    </row>
    <row r="40" spans="2:26">
      <c r="B40" s="7" t="s">
        <v>322</v>
      </c>
      <c r="C40" s="7" t="s">
        <v>323</v>
      </c>
      <c r="D40" s="9" t="s">
        <v>172</v>
      </c>
      <c r="E40" s="1" t="s">
        <v>324</v>
      </c>
      <c r="F40" s="1" t="s">
        <v>27</v>
      </c>
      <c r="G40" s="2">
        <v>62</v>
      </c>
      <c r="H40" s="1">
        <v>2159155</v>
      </c>
      <c r="I40" s="1" t="s">
        <v>325</v>
      </c>
      <c r="J40" s="1" t="s">
        <v>326</v>
      </c>
      <c r="K40" s="1" t="s">
        <v>327</v>
      </c>
      <c r="L40" s="1" t="s">
        <v>120</v>
      </c>
      <c r="M40" s="10" t="s">
        <v>32</v>
      </c>
      <c r="N40" t="b">
        <f>Q40=B40</f>
        <v>1</v>
      </c>
      <c r="O40" s="5" t="s">
        <v>186</v>
      </c>
      <c r="P40" s="4" t="s">
        <v>328</v>
      </c>
      <c r="Q40" s="4" t="s">
        <v>322</v>
      </c>
      <c r="R40" s="4" t="s">
        <v>122</v>
      </c>
      <c r="S40" s="3" t="s">
        <v>122</v>
      </c>
      <c r="T40" s="4" t="s">
        <v>188</v>
      </c>
      <c r="U40" s="3" t="s">
        <v>180</v>
      </c>
      <c r="W40" s="1" t="s">
        <v>299</v>
      </c>
      <c r="X40" s="1" t="s">
        <v>124</v>
      </c>
      <c r="Y40" s="1" t="s">
        <v>124</v>
      </c>
      <c r="Z40" t="b">
        <f t="shared" si="0"/>
        <v>1</v>
      </c>
    </row>
    <row r="41" spans="2:26">
      <c r="B41" s="7" t="s">
        <v>329</v>
      </c>
      <c r="C41" s="7" t="s">
        <v>330</v>
      </c>
      <c r="D41" s="9" t="s">
        <v>172</v>
      </c>
      <c r="E41" s="1" t="s">
        <v>331</v>
      </c>
      <c r="F41" s="1" t="s">
        <v>27</v>
      </c>
      <c r="G41" s="2">
        <v>147</v>
      </c>
      <c r="H41" s="1">
        <v>1999054</v>
      </c>
      <c r="I41" s="1" t="s">
        <v>332</v>
      </c>
      <c r="J41" s="1" t="s">
        <v>333</v>
      </c>
      <c r="K41" s="1"/>
      <c r="L41" s="1" t="s">
        <v>334</v>
      </c>
      <c r="M41" s="10" t="s">
        <v>32</v>
      </c>
      <c r="N41" t="b">
        <f>Q41=B41</f>
        <v>1</v>
      </c>
      <c r="O41" s="5" t="s">
        <v>177</v>
      </c>
      <c r="P41" s="4" t="s">
        <v>335</v>
      </c>
      <c r="Q41" s="4" t="s">
        <v>329</v>
      </c>
      <c r="R41" s="4" t="s">
        <v>34</v>
      </c>
      <c r="S41" s="3" t="s">
        <v>34</v>
      </c>
      <c r="T41" s="4" t="s">
        <v>195</v>
      </c>
      <c r="U41" s="3" t="s">
        <v>180</v>
      </c>
      <c r="W41" s="1" t="s">
        <v>98</v>
      </c>
      <c r="X41" s="1" t="s">
        <v>98</v>
      </c>
      <c r="Y41" s="1" t="s">
        <v>98</v>
      </c>
      <c r="Z41" t="b">
        <f t="shared" si="0"/>
        <v>1</v>
      </c>
    </row>
    <row r="42" spans="2:26">
      <c r="B42" s="7" t="s">
        <v>336</v>
      </c>
      <c r="C42" s="7" t="s">
        <v>337</v>
      </c>
      <c r="D42" s="9" t="s">
        <v>172</v>
      </c>
      <c r="E42" s="1" t="s">
        <v>338</v>
      </c>
      <c r="F42" s="1" t="s">
        <v>27</v>
      </c>
      <c r="G42" s="2">
        <v>27</v>
      </c>
      <c r="H42" s="1">
        <v>2455124</v>
      </c>
      <c r="I42" s="1" t="s">
        <v>339</v>
      </c>
      <c r="J42" s="1" t="s">
        <v>340</v>
      </c>
      <c r="K42" s="1" t="s">
        <v>341</v>
      </c>
      <c r="L42" s="1" t="s">
        <v>342</v>
      </c>
      <c r="M42" s="10" t="s">
        <v>32</v>
      </c>
      <c r="N42" t="b">
        <f>Q42=B42</f>
        <v>1</v>
      </c>
      <c r="O42" s="5" t="s">
        <v>186</v>
      </c>
      <c r="P42" s="4" t="s">
        <v>343</v>
      </c>
      <c r="Q42" s="4" t="s">
        <v>336</v>
      </c>
      <c r="R42" s="4" t="s">
        <v>65</v>
      </c>
      <c r="S42" s="3" t="s">
        <v>65</v>
      </c>
      <c r="T42" s="4" t="s">
        <v>188</v>
      </c>
      <c r="U42" s="3" t="s">
        <v>180</v>
      </c>
      <c r="W42" s="1" t="s">
        <v>344</v>
      </c>
      <c r="X42" s="1" t="s">
        <v>344</v>
      </c>
      <c r="Y42" s="1" t="s">
        <v>344</v>
      </c>
      <c r="Z42" t="b">
        <f t="shared" si="0"/>
        <v>1</v>
      </c>
    </row>
    <row r="43" spans="2:26">
      <c r="B43" s="7" t="s">
        <v>345</v>
      </c>
      <c r="C43" s="7" t="s">
        <v>346</v>
      </c>
      <c r="D43" s="9" t="s">
        <v>172</v>
      </c>
      <c r="E43" s="1" t="s">
        <v>347</v>
      </c>
      <c r="F43" s="1" t="s">
        <v>27</v>
      </c>
      <c r="G43" s="2">
        <v>54</v>
      </c>
      <c r="H43" s="1">
        <v>2375309</v>
      </c>
      <c r="I43" s="1" t="s">
        <v>348</v>
      </c>
      <c r="J43" s="1" t="s">
        <v>349</v>
      </c>
      <c r="K43" s="1" t="s">
        <v>350</v>
      </c>
      <c r="L43" s="1" t="s">
        <v>351</v>
      </c>
      <c r="M43" s="10" t="s">
        <v>153</v>
      </c>
      <c r="N43" t="b">
        <f>Q43=B43</f>
        <v>1</v>
      </c>
      <c r="O43" s="5" t="s">
        <v>186</v>
      </c>
      <c r="P43" s="4" t="s">
        <v>352</v>
      </c>
      <c r="Q43" s="4" t="s">
        <v>345</v>
      </c>
      <c r="R43" s="4" t="s">
        <v>89</v>
      </c>
      <c r="S43" s="3" t="s">
        <v>89</v>
      </c>
      <c r="T43" s="4" t="s">
        <v>269</v>
      </c>
      <c r="U43" s="3" t="s">
        <v>180</v>
      </c>
      <c r="W43" s="1" t="s">
        <v>315</v>
      </c>
      <c r="X43" s="1" t="s">
        <v>315</v>
      </c>
      <c r="Y43" s="1" t="s">
        <v>315</v>
      </c>
      <c r="Z43" t="b">
        <f t="shared" si="0"/>
        <v>1</v>
      </c>
    </row>
    <row r="44" spans="2:26">
      <c r="B44" s="7" t="s">
        <v>353</v>
      </c>
      <c r="C44" s="7" t="s">
        <v>354</v>
      </c>
      <c r="D44" s="9" t="s">
        <v>172</v>
      </c>
      <c r="E44" s="1" t="s">
        <v>355</v>
      </c>
      <c r="F44" s="1" t="s">
        <v>27</v>
      </c>
      <c r="G44" s="2">
        <v>32</v>
      </c>
      <c r="H44" s="1">
        <v>2068390</v>
      </c>
      <c r="I44" s="1" t="s">
        <v>356</v>
      </c>
      <c r="J44" s="1" t="s">
        <v>357</v>
      </c>
      <c r="K44" s="1" t="s">
        <v>358</v>
      </c>
      <c r="L44" s="1" t="s">
        <v>44</v>
      </c>
      <c r="M44" s="10" t="s">
        <v>32</v>
      </c>
      <c r="N44" t="b">
        <f>Q44=B44</f>
        <v>1</v>
      </c>
      <c r="O44" s="5" t="s">
        <v>186</v>
      </c>
      <c r="P44" s="4" t="s">
        <v>359</v>
      </c>
      <c r="Q44" s="4" t="s">
        <v>353</v>
      </c>
      <c r="R44" s="4" t="s">
        <v>34</v>
      </c>
      <c r="S44" s="3" t="s">
        <v>34</v>
      </c>
      <c r="T44" s="4" t="s">
        <v>360</v>
      </c>
      <c r="U44" s="3" t="s">
        <v>180</v>
      </c>
      <c r="W44" s="1" t="s">
        <v>361</v>
      </c>
      <c r="X44" s="1" t="s">
        <v>362</v>
      </c>
      <c r="Y44" s="1" t="s">
        <v>362</v>
      </c>
      <c r="Z44" t="b">
        <f t="shared" si="0"/>
        <v>1</v>
      </c>
    </row>
    <row r="45" spans="2:26">
      <c r="B45" s="7" t="s">
        <v>363</v>
      </c>
      <c r="C45" s="7" t="s">
        <v>364</v>
      </c>
      <c r="D45" s="9" t="s">
        <v>172</v>
      </c>
      <c r="E45" s="1" t="s">
        <v>365</v>
      </c>
      <c r="F45" s="1" t="s">
        <v>27</v>
      </c>
      <c r="G45" s="2">
        <v>15</v>
      </c>
      <c r="H45" s="1">
        <v>2090239</v>
      </c>
      <c r="I45" s="1" t="s">
        <v>366</v>
      </c>
      <c r="J45" s="1" t="s">
        <v>367</v>
      </c>
      <c r="K45" s="1" t="s">
        <v>368</v>
      </c>
      <c r="L45" s="1" t="s">
        <v>369</v>
      </c>
      <c r="M45" s="10" t="s">
        <v>32</v>
      </c>
      <c r="N45" t="b">
        <f>Q45=B45</f>
        <v>1</v>
      </c>
      <c r="O45" s="5" t="s">
        <v>186</v>
      </c>
      <c r="P45" s="4" t="s">
        <v>370</v>
      </c>
      <c r="Q45" s="4" t="s">
        <v>363</v>
      </c>
      <c r="R45" s="4" t="s">
        <v>106</v>
      </c>
      <c r="S45" s="3" t="s">
        <v>106</v>
      </c>
      <c r="T45" s="4" t="s">
        <v>371</v>
      </c>
      <c r="U45" s="3" t="s">
        <v>180</v>
      </c>
      <c r="W45" s="1" t="s">
        <v>372</v>
      </c>
      <c r="X45" s="1" t="s">
        <v>372</v>
      </c>
      <c r="Y45" s="1" t="s">
        <v>373</v>
      </c>
      <c r="Z45" t="b">
        <f t="shared" si="0"/>
        <v>0</v>
      </c>
    </row>
    <row r="46" spans="2:26">
      <c r="B46" s="7" t="s">
        <v>374</v>
      </c>
      <c r="C46" s="7" t="s">
        <v>374</v>
      </c>
      <c r="D46" s="9" t="s">
        <v>172</v>
      </c>
      <c r="E46" s="1" t="s">
        <v>375</v>
      </c>
      <c r="F46" s="1" t="s">
        <v>27</v>
      </c>
      <c r="G46" s="2">
        <v>26</v>
      </c>
      <c r="H46" s="1">
        <v>2486716</v>
      </c>
      <c r="I46" s="1" t="s">
        <v>376</v>
      </c>
      <c r="J46" s="1" t="s">
        <v>377</v>
      </c>
      <c r="K46" s="1" t="s">
        <v>290</v>
      </c>
      <c r="L46" s="1" t="s">
        <v>44</v>
      </c>
      <c r="M46" s="10" t="s">
        <v>32</v>
      </c>
      <c r="N46" t="b">
        <f>Q46=B46</f>
        <v>1</v>
      </c>
      <c r="O46" s="5" t="s">
        <v>186</v>
      </c>
      <c r="P46" s="4" t="s">
        <v>378</v>
      </c>
      <c r="Q46" s="4" t="s">
        <v>374</v>
      </c>
      <c r="R46" s="4" t="s">
        <v>65</v>
      </c>
      <c r="S46" s="3" t="s">
        <v>65</v>
      </c>
      <c r="T46" s="4" t="s">
        <v>188</v>
      </c>
      <c r="U46" s="3" t="s">
        <v>180</v>
      </c>
      <c r="W46" s="1" t="s">
        <v>379</v>
      </c>
      <c r="X46" s="1" t="s">
        <v>379</v>
      </c>
      <c r="Y46" s="1" t="s">
        <v>379</v>
      </c>
      <c r="Z46" t="b">
        <f t="shared" si="0"/>
        <v>1</v>
      </c>
    </row>
    <row r="47" spans="2:26">
      <c r="B47" s="7" t="s">
        <v>380</v>
      </c>
      <c r="C47" s="7" t="s">
        <v>380</v>
      </c>
      <c r="D47" s="9" t="s">
        <v>172</v>
      </c>
      <c r="E47" s="1" t="s">
        <v>381</v>
      </c>
      <c r="F47" s="1" t="s">
        <v>27</v>
      </c>
      <c r="G47" s="2">
        <v>85</v>
      </c>
      <c r="H47" s="1">
        <v>2349313</v>
      </c>
      <c r="I47" s="1" t="s">
        <v>382</v>
      </c>
      <c r="J47" s="1" t="s">
        <v>383</v>
      </c>
      <c r="K47" s="1" t="s">
        <v>384</v>
      </c>
      <c r="L47" s="1" t="s">
        <v>120</v>
      </c>
      <c r="M47" s="10" t="s">
        <v>32</v>
      </c>
      <c r="N47" t="b">
        <f>Q47=B47</f>
        <v>1</v>
      </c>
      <c r="O47" s="5" t="s">
        <v>186</v>
      </c>
      <c r="P47" s="4" t="s">
        <v>385</v>
      </c>
      <c r="Q47" s="4" t="s">
        <v>380</v>
      </c>
      <c r="R47" s="4" t="s">
        <v>122</v>
      </c>
      <c r="S47" s="3" t="s">
        <v>122</v>
      </c>
      <c r="T47" s="4" t="s">
        <v>188</v>
      </c>
      <c r="U47" s="3" t="s">
        <v>180</v>
      </c>
      <c r="W47" s="1" t="s">
        <v>123</v>
      </c>
      <c r="X47" s="1" t="s">
        <v>124</v>
      </c>
      <c r="Y47" s="1" t="s">
        <v>124</v>
      </c>
      <c r="Z47" t="b">
        <f t="shared" si="0"/>
        <v>1</v>
      </c>
    </row>
    <row r="48" spans="2:26">
      <c r="B48" s="7" t="s">
        <v>386</v>
      </c>
      <c r="C48" s="7" t="s">
        <v>386</v>
      </c>
      <c r="D48" s="9" t="s">
        <v>172</v>
      </c>
      <c r="E48" s="1" t="s">
        <v>387</v>
      </c>
      <c r="F48" s="1" t="s">
        <v>27</v>
      </c>
      <c r="G48" s="2">
        <v>91</v>
      </c>
      <c r="H48" s="1">
        <v>2305132</v>
      </c>
      <c r="I48" s="1" t="s">
        <v>388</v>
      </c>
      <c r="J48" s="1" t="s">
        <v>389</v>
      </c>
      <c r="K48" s="1" t="s">
        <v>390</v>
      </c>
      <c r="L48" s="1" t="s">
        <v>391</v>
      </c>
      <c r="M48" s="10" t="s">
        <v>32</v>
      </c>
      <c r="N48" t="b">
        <f>Q48=B48</f>
        <v>1</v>
      </c>
      <c r="O48" s="5" t="s">
        <v>177</v>
      </c>
      <c r="P48" s="4" t="s">
        <v>392</v>
      </c>
      <c r="Q48" s="4" t="s">
        <v>386</v>
      </c>
      <c r="R48" s="4" t="s">
        <v>106</v>
      </c>
      <c r="S48" s="3" t="s">
        <v>106</v>
      </c>
      <c r="T48" s="4" t="s">
        <v>179</v>
      </c>
      <c r="U48" s="3" t="s">
        <v>180</v>
      </c>
      <c r="W48" s="1" t="s">
        <v>146</v>
      </c>
      <c r="X48" s="1" t="s">
        <v>146</v>
      </c>
      <c r="Y48" s="1" t="s">
        <v>146</v>
      </c>
      <c r="Z48" t="b">
        <f t="shared" si="0"/>
        <v>1</v>
      </c>
    </row>
    <row r="49" spans="2:26">
      <c r="B49" s="7" t="s">
        <v>393</v>
      </c>
      <c r="C49" s="7" t="s">
        <v>393</v>
      </c>
      <c r="D49" s="9" t="s">
        <v>172</v>
      </c>
      <c r="E49" s="1" t="s">
        <v>394</v>
      </c>
      <c r="F49" s="1" t="s">
        <v>27</v>
      </c>
      <c r="G49" s="2">
        <v>66</v>
      </c>
      <c r="H49" s="1">
        <v>2305086</v>
      </c>
      <c r="I49" s="1" t="s">
        <v>395</v>
      </c>
      <c r="J49" s="1" t="s">
        <v>396</v>
      </c>
      <c r="K49" s="1" t="s">
        <v>397</v>
      </c>
      <c r="L49" s="1" t="s">
        <v>120</v>
      </c>
      <c r="M49" s="10" t="s">
        <v>32</v>
      </c>
      <c r="N49" t="b">
        <f>Q49=B49</f>
        <v>1</v>
      </c>
      <c r="O49" s="5" t="s">
        <v>186</v>
      </c>
      <c r="P49" s="4" t="s">
        <v>398</v>
      </c>
      <c r="Q49" s="4" t="s">
        <v>393</v>
      </c>
      <c r="R49" s="4" t="s">
        <v>122</v>
      </c>
      <c r="S49" s="3" t="s">
        <v>89</v>
      </c>
      <c r="T49" s="4" t="s">
        <v>188</v>
      </c>
      <c r="U49" s="3" t="s">
        <v>180</v>
      </c>
      <c r="W49" s="1" t="s">
        <v>299</v>
      </c>
      <c r="X49" s="1" t="s">
        <v>124</v>
      </c>
      <c r="Y49" s="1" t="s">
        <v>124</v>
      </c>
      <c r="Z49" t="b">
        <f t="shared" si="0"/>
        <v>1</v>
      </c>
    </row>
    <row r="50" spans="2:26">
      <c r="B50" s="7" t="s">
        <v>399</v>
      </c>
      <c r="C50" s="7" t="s">
        <v>399</v>
      </c>
      <c r="D50" s="9" t="s">
        <v>172</v>
      </c>
      <c r="E50" s="1" t="s">
        <v>400</v>
      </c>
      <c r="F50" s="1" t="s">
        <v>27</v>
      </c>
      <c r="G50" s="2">
        <v>74</v>
      </c>
      <c r="H50" s="1">
        <v>2029149</v>
      </c>
      <c r="I50" s="1" t="s">
        <v>401</v>
      </c>
      <c r="J50" s="1" t="s">
        <v>402</v>
      </c>
      <c r="K50" s="1" t="s">
        <v>403</v>
      </c>
      <c r="L50" s="1" t="s">
        <v>44</v>
      </c>
      <c r="M50" s="10" t="s">
        <v>32</v>
      </c>
      <c r="N50" t="b">
        <f>Q50=B50</f>
        <v>1</v>
      </c>
      <c r="O50" s="5" t="s">
        <v>186</v>
      </c>
      <c r="P50" s="4" t="s">
        <v>404</v>
      </c>
      <c r="Q50" s="4" t="s">
        <v>399</v>
      </c>
      <c r="R50" s="4" t="s">
        <v>242</v>
      </c>
      <c r="S50" s="3" t="s">
        <v>242</v>
      </c>
      <c r="T50" s="4" t="s">
        <v>188</v>
      </c>
      <c r="U50" s="3" t="s">
        <v>180</v>
      </c>
      <c r="W50" s="1" t="s">
        <v>405</v>
      </c>
      <c r="X50" s="1" t="s">
        <v>405</v>
      </c>
      <c r="Y50" s="1" t="s">
        <v>405</v>
      </c>
      <c r="Z50" t="b">
        <f t="shared" si="0"/>
        <v>1</v>
      </c>
    </row>
    <row r="51" spans="2:26">
      <c r="B51" s="7" t="s">
        <v>406</v>
      </c>
      <c r="C51" s="7" t="s">
        <v>406</v>
      </c>
      <c r="D51" s="9" t="s">
        <v>172</v>
      </c>
      <c r="E51" s="1" t="s">
        <v>407</v>
      </c>
      <c r="F51" s="1" t="s">
        <v>27</v>
      </c>
      <c r="G51" s="2">
        <v>19</v>
      </c>
      <c r="H51" s="1">
        <v>1893904</v>
      </c>
      <c r="I51" s="1" t="s">
        <v>408</v>
      </c>
      <c r="J51" s="1" t="s">
        <v>409</v>
      </c>
      <c r="K51" s="1" t="s">
        <v>290</v>
      </c>
      <c r="L51" s="1" t="s">
        <v>410</v>
      </c>
      <c r="M51" s="10" t="s">
        <v>32</v>
      </c>
      <c r="N51" t="b">
        <f>Q51=B51</f>
        <v>1</v>
      </c>
      <c r="O51" s="5" t="s">
        <v>186</v>
      </c>
      <c r="P51" s="4" t="s">
        <v>411</v>
      </c>
      <c r="Q51" s="4" t="s">
        <v>406</v>
      </c>
      <c r="R51" s="4" t="s">
        <v>412</v>
      </c>
      <c r="S51" s="3" t="s">
        <v>106</v>
      </c>
      <c r="T51" s="4" t="s">
        <v>188</v>
      </c>
      <c r="U51" s="3" t="s">
        <v>180</v>
      </c>
      <c r="W51" s="1" t="s">
        <v>413</v>
      </c>
      <c r="X51" s="1" t="s">
        <v>206</v>
      </c>
      <c r="Y51" s="1" t="s">
        <v>206</v>
      </c>
      <c r="Z51" t="b">
        <f t="shared" si="0"/>
        <v>1</v>
      </c>
    </row>
    <row r="52" spans="2:26">
      <c r="B52" s="7" t="s">
        <v>414</v>
      </c>
      <c r="C52" s="7" t="s">
        <v>414</v>
      </c>
      <c r="D52" s="9" t="s">
        <v>172</v>
      </c>
      <c r="E52" s="1" t="s">
        <v>415</v>
      </c>
      <c r="F52" s="1" t="s">
        <v>27</v>
      </c>
      <c r="G52" s="2">
        <v>81</v>
      </c>
      <c r="H52" s="1">
        <v>2190206</v>
      </c>
      <c r="I52" s="1" t="s">
        <v>416</v>
      </c>
      <c r="J52" s="1" t="s">
        <v>151</v>
      </c>
      <c r="K52" s="1" t="s">
        <v>218</v>
      </c>
      <c r="L52" s="1" t="s">
        <v>120</v>
      </c>
      <c r="M52" s="10" t="s">
        <v>32</v>
      </c>
      <c r="N52" t="b">
        <f>Q52=B52</f>
        <v>1</v>
      </c>
      <c r="O52" s="5" t="s">
        <v>186</v>
      </c>
      <c r="P52" s="4" t="s">
        <v>417</v>
      </c>
      <c r="Q52" s="4" t="s">
        <v>414</v>
      </c>
      <c r="R52" s="4" t="s">
        <v>89</v>
      </c>
      <c r="S52" s="3" t="s">
        <v>89</v>
      </c>
      <c r="T52" s="4" t="s">
        <v>188</v>
      </c>
      <c r="U52" s="3" t="s">
        <v>180</v>
      </c>
      <c r="W52" s="1" t="s">
        <v>123</v>
      </c>
      <c r="X52" s="1" t="s">
        <v>124</v>
      </c>
      <c r="Y52" s="1" t="s">
        <v>124</v>
      </c>
      <c r="Z52" t="b">
        <f t="shared" si="0"/>
        <v>1</v>
      </c>
    </row>
    <row r="53" spans="2:26">
      <c r="B53" s="7" t="s">
        <v>418</v>
      </c>
      <c r="C53" s="7" t="s">
        <v>418</v>
      </c>
      <c r="D53" s="9" t="s">
        <v>172</v>
      </c>
      <c r="E53" s="1" t="s">
        <v>419</v>
      </c>
      <c r="F53" s="1" t="s">
        <v>27</v>
      </c>
      <c r="G53" s="2">
        <v>103</v>
      </c>
      <c r="H53" s="1">
        <v>2220900</v>
      </c>
      <c r="I53" s="1" t="s">
        <v>420</v>
      </c>
      <c r="J53" s="1" t="s">
        <v>421</v>
      </c>
      <c r="K53" s="1" t="s">
        <v>30</v>
      </c>
      <c r="L53" s="1" t="s">
        <v>422</v>
      </c>
      <c r="M53" s="10" t="s">
        <v>32</v>
      </c>
      <c r="N53" t="b">
        <f>Q53=B53</f>
        <v>1</v>
      </c>
      <c r="O53" s="5" t="s">
        <v>177</v>
      </c>
      <c r="P53" s="4" t="s">
        <v>423</v>
      </c>
      <c r="Q53" s="4" t="s">
        <v>418</v>
      </c>
      <c r="R53" s="4" t="s">
        <v>34</v>
      </c>
      <c r="S53" s="3" t="s">
        <v>34</v>
      </c>
      <c r="T53" s="4" t="s">
        <v>371</v>
      </c>
      <c r="U53" s="3" t="s">
        <v>180</v>
      </c>
      <c r="W53" s="1" t="s">
        <v>424</v>
      </c>
      <c r="X53" s="1" t="s">
        <v>424</v>
      </c>
      <c r="Y53" s="1" t="s">
        <v>424</v>
      </c>
      <c r="Z53" t="b">
        <f t="shared" si="0"/>
        <v>1</v>
      </c>
    </row>
    <row r="54" spans="2:26">
      <c r="B54" s="7" t="s">
        <v>425</v>
      </c>
      <c r="C54" s="7" t="s">
        <v>425</v>
      </c>
      <c r="D54" s="9" t="s">
        <v>172</v>
      </c>
      <c r="E54" s="1" t="s">
        <v>426</v>
      </c>
      <c r="F54" s="1" t="s">
        <v>27</v>
      </c>
      <c r="G54" s="2">
        <v>161</v>
      </c>
      <c r="H54" s="1">
        <v>1960288</v>
      </c>
      <c r="I54" s="1" t="s">
        <v>427</v>
      </c>
      <c r="J54" s="1" t="s">
        <v>428</v>
      </c>
      <c r="K54" s="1"/>
      <c r="L54" s="1" t="s">
        <v>429</v>
      </c>
      <c r="M54" s="10" t="s">
        <v>32</v>
      </c>
      <c r="N54" t="b">
        <f>Q54=B54</f>
        <v>1</v>
      </c>
      <c r="O54" s="5" t="s">
        <v>177</v>
      </c>
      <c r="P54" s="4" t="s">
        <v>430</v>
      </c>
      <c r="Q54" s="4" t="s">
        <v>425</v>
      </c>
      <c r="R54" s="4" t="s">
        <v>89</v>
      </c>
      <c r="S54" s="3" t="s">
        <v>89</v>
      </c>
      <c r="T54" s="4" t="s">
        <v>431</v>
      </c>
      <c r="U54" s="3" t="s">
        <v>180</v>
      </c>
      <c r="W54" s="1" t="s">
        <v>90</v>
      </c>
      <c r="X54" s="1" t="s">
        <v>90</v>
      </c>
      <c r="Y54" s="1" t="s">
        <v>90</v>
      </c>
      <c r="Z54" t="b">
        <f t="shared" si="0"/>
        <v>1</v>
      </c>
    </row>
    <row r="55" spans="2:26">
      <c r="B55" s="7" t="s">
        <v>432</v>
      </c>
      <c r="C55" s="7" t="s">
        <v>432</v>
      </c>
      <c r="D55" s="9" t="s">
        <v>172</v>
      </c>
      <c r="E55" s="1" t="s">
        <v>433</v>
      </c>
      <c r="F55" s="1" t="s">
        <v>27</v>
      </c>
      <c r="G55" s="2">
        <v>52</v>
      </c>
      <c r="H55" s="1">
        <v>2008474</v>
      </c>
      <c r="I55" s="1" t="s">
        <v>434</v>
      </c>
      <c r="J55" s="1" t="s">
        <v>289</v>
      </c>
      <c r="K55" s="1" t="s">
        <v>290</v>
      </c>
      <c r="L55" s="1" t="s">
        <v>435</v>
      </c>
      <c r="M55" s="10" t="s">
        <v>32</v>
      </c>
      <c r="N55" t="b">
        <f>Q55=B55</f>
        <v>1</v>
      </c>
      <c r="O55" s="5" t="s">
        <v>186</v>
      </c>
      <c r="P55" s="4" t="s">
        <v>436</v>
      </c>
      <c r="Q55" s="4" t="s">
        <v>432</v>
      </c>
      <c r="R55" s="4" t="s">
        <v>55</v>
      </c>
      <c r="S55" s="3" t="s">
        <v>55</v>
      </c>
      <c r="T55" s="4" t="s">
        <v>188</v>
      </c>
      <c r="U55" s="3" t="s">
        <v>180</v>
      </c>
      <c r="W55" s="1" t="s">
        <v>56</v>
      </c>
      <c r="X55" s="1" t="s">
        <v>57</v>
      </c>
      <c r="Y55" s="1" t="s">
        <v>57</v>
      </c>
      <c r="Z55" t="b">
        <f t="shared" si="0"/>
        <v>1</v>
      </c>
    </row>
    <row r="56" spans="2:26">
      <c r="B56" s="7" t="s">
        <v>437</v>
      </c>
      <c r="C56" s="7" t="s">
        <v>437</v>
      </c>
      <c r="D56" s="9" t="s">
        <v>172</v>
      </c>
      <c r="E56" s="1" t="s">
        <v>438</v>
      </c>
      <c r="F56" s="1" t="s">
        <v>27</v>
      </c>
      <c r="G56" s="2">
        <v>180</v>
      </c>
      <c r="H56" s="1">
        <v>2070296</v>
      </c>
      <c r="I56" s="1" t="s">
        <v>439</v>
      </c>
      <c r="J56" s="1" t="s">
        <v>440</v>
      </c>
      <c r="K56" s="1" t="s">
        <v>441</v>
      </c>
      <c r="L56" s="1" t="s">
        <v>44</v>
      </c>
      <c r="M56" s="10" t="s">
        <v>32</v>
      </c>
      <c r="N56" t="b">
        <f>Q56=B56</f>
        <v>1</v>
      </c>
      <c r="O56" s="5" t="s">
        <v>186</v>
      </c>
      <c r="P56" s="4" t="s">
        <v>442</v>
      </c>
      <c r="Q56" s="4" t="s">
        <v>437</v>
      </c>
      <c r="R56" s="4" t="s">
        <v>34</v>
      </c>
      <c r="S56" s="3" t="s">
        <v>34</v>
      </c>
      <c r="T56" s="4" t="s">
        <v>188</v>
      </c>
      <c r="U56" s="3" t="s">
        <v>180</v>
      </c>
      <c r="W56" s="1" t="s">
        <v>443</v>
      </c>
      <c r="X56" s="1" t="s">
        <v>443</v>
      </c>
      <c r="Y56" s="1" t="s">
        <v>443</v>
      </c>
      <c r="Z56" t="b">
        <f t="shared" si="0"/>
        <v>1</v>
      </c>
    </row>
    <row r="57" spans="2:26">
      <c r="B57" s="7" t="s">
        <v>444</v>
      </c>
      <c r="C57" s="7" t="s">
        <v>444</v>
      </c>
      <c r="D57" s="9" t="s">
        <v>172</v>
      </c>
      <c r="E57" s="1" t="s">
        <v>445</v>
      </c>
      <c r="F57" s="1" t="s">
        <v>27</v>
      </c>
      <c r="G57" s="2">
        <v>62</v>
      </c>
      <c r="H57" s="1">
        <v>2137179</v>
      </c>
      <c r="I57" s="1" t="s">
        <v>446</v>
      </c>
      <c r="J57" s="1" t="s">
        <v>447</v>
      </c>
      <c r="K57" s="1" t="s">
        <v>175</v>
      </c>
      <c r="L57" s="1" t="s">
        <v>448</v>
      </c>
      <c r="M57" s="10" t="s">
        <v>32</v>
      </c>
      <c r="N57" t="b">
        <f>Q57=B57</f>
        <v>1</v>
      </c>
      <c r="O57" s="5" t="s">
        <v>177</v>
      </c>
      <c r="P57" s="4" t="s">
        <v>449</v>
      </c>
      <c r="Q57" s="4" t="s">
        <v>444</v>
      </c>
      <c r="R57" s="4" t="s">
        <v>106</v>
      </c>
      <c r="S57" s="3" t="s">
        <v>106</v>
      </c>
      <c r="T57" s="4" t="s">
        <v>188</v>
      </c>
      <c r="U57" s="3" t="s">
        <v>180</v>
      </c>
      <c r="W57" s="1" t="s">
        <v>146</v>
      </c>
      <c r="X57" s="1" t="s">
        <v>146</v>
      </c>
      <c r="Y57" s="1" t="s">
        <v>146</v>
      </c>
      <c r="Z57" t="b">
        <f t="shared" si="0"/>
        <v>1</v>
      </c>
    </row>
    <row r="58" spans="2:26">
      <c r="B58" s="7" t="s">
        <v>450</v>
      </c>
      <c r="C58" s="7" t="s">
        <v>450</v>
      </c>
      <c r="D58" s="9" t="s">
        <v>172</v>
      </c>
      <c r="E58" s="1" t="s">
        <v>451</v>
      </c>
      <c r="F58" s="1" t="s">
        <v>27</v>
      </c>
      <c r="G58" s="2">
        <v>9</v>
      </c>
      <c r="H58" s="1">
        <v>2409809</v>
      </c>
      <c r="I58" s="1" t="s">
        <v>452</v>
      </c>
      <c r="J58" s="1" t="s">
        <v>453</v>
      </c>
      <c r="K58" s="1"/>
      <c r="L58" s="1" t="s">
        <v>454</v>
      </c>
      <c r="M58" s="10" t="s">
        <v>32</v>
      </c>
      <c r="N58" t="b">
        <f>Q58=B58</f>
        <v>1</v>
      </c>
      <c r="O58" s="5" t="s">
        <v>203</v>
      </c>
      <c r="P58" s="4" t="s">
        <v>455</v>
      </c>
      <c r="Q58" s="4" t="s">
        <v>450</v>
      </c>
      <c r="R58" s="4" t="s">
        <v>65</v>
      </c>
      <c r="S58" s="3" t="s">
        <v>65</v>
      </c>
      <c r="T58" s="4" t="s">
        <v>269</v>
      </c>
      <c r="U58" s="3" t="s">
        <v>180</v>
      </c>
      <c r="W58" s="1" t="s">
        <v>456</v>
      </c>
      <c r="X58" s="1" t="s">
        <v>344</v>
      </c>
      <c r="Y58" s="1" t="s">
        <v>344</v>
      </c>
      <c r="Z58" t="b">
        <f t="shared" si="0"/>
        <v>1</v>
      </c>
    </row>
    <row r="59" spans="2:26">
      <c r="B59" s="7" t="s">
        <v>457</v>
      </c>
      <c r="C59" s="7" t="s">
        <v>457</v>
      </c>
      <c r="D59" s="9" t="s">
        <v>172</v>
      </c>
      <c r="E59" s="1" t="s">
        <v>458</v>
      </c>
      <c r="F59" s="1" t="s">
        <v>27</v>
      </c>
      <c r="G59" s="2">
        <v>62</v>
      </c>
      <c r="H59" s="1">
        <v>2415477</v>
      </c>
      <c r="I59" s="1" t="s">
        <v>459</v>
      </c>
      <c r="J59" s="1" t="s">
        <v>151</v>
      </c>
      <c r="K59" s="1" t="s">
        <v>240</v>
      </c>
      <c r="L59" s="1" t="s">
        <v>120</v>
      </c>
      <c r="M59" s="10" t="s">
        <v>32</v>
      </c>
      <c r="N59" t="b">
        <f>Q59=B59</f>
        <v>1</v>
      </c>
      <c r="O59" s="5" t="s">
        <v>186</v>
      </c>
      <c r="P59" s="4" t="s">
        <v>460</v>
      </c>
      <c r="Q59" s="4" t="s">
        <v>457</v>
      </c>
      <c r="R59" s="4" t="s">
        <v>122</v>
      </c>
      <c r="S59" s="3" t="s">
        <v>89</v>
      </c>
      <c r="T59" s="4" t="s">
        <v>188</v>
      </c>
      <c r="U59" s="3" t="s">
        <v>180</v>
      </c>
      <c r="W59" s="1" t="s">
        <v>299</v>
      </c>
      <c r="X59" s="1" t="s">
        <v>124</v>
      </c>
      <c r="Y59" s="1" t="s">
        <v>124</v>
      </c>
      <c r="Z59" t="b">
        <f t="shared" si="0"/>
        <v>1</v>
      </c>
    </row>
    <row r="60" spans="2:26">
      <c r="B60" s="7" t="s">
        <v>461</v>
      </c>
      <c r="C60" s="7" t="s">
        <v>461</v>
      </c>
      <c r="D60" s="9" t="s">
        <v>172</v>
      </c>
      <c r="E60" s="1" t="s">
        <v>462</v>
      </c>
      <c r="F60" s="1" t="s">
        <v>27</v>
      </c>
      <c r="G60" s="2">
        <v>39</v>
      </c>
      <c r="H60" s="1">
        <v>2158545</v>
      </c>
      <c r="I60" s="1" t="s">
        <v>463</v>
      </c>
      <c r="J60" s="1" t="s">
        <v>464</v>
      </c>
      <c r="K60" s="1" t="s">
        <v>175</v>
      </c>
      <c r="L60" s="1" t="s">
        <v>465</v>
      </c>
      <c r="M60" s="10" t="s">
        <v>32</v>
      </c>
      <c r="N60" t="b">
        <f>Q60=B60</f>
        <v>1</v>
      </c>
      <c r="O60" s="5" t="s">
        <v>177</v>
      </c>
      <c r="P60" s="4" t="s">
        <v>466</v>
      </c>
      <c r="Q60" s="4" t="s">
        <v>461</v>
      </c>
      <c r="R60" s="4" t="s">
        <v>106</v>
      </c>
      <c r="S60" s="3" t="s">
        <v>106</v>
      </c>
      <c r="T60" s="4" t="s">
        <v>188</v>
      </c>
      <c r="U60" s="3" t="s">
        <v>180</v>
      </c>
      <c r="W60" s="1" t="s">
        <v>467</v>
      </c>
      <c r="X60" s="1" t="s">
        <v>467</v>
      </c>
      <c r="Y60" s="1" t="s">
        <v>467</v>
      </c>
      <c r="Z60" t="b">
        <f t="shared" si="0"/>
        <v>1</v>
      </c>
    </row>
    <row r="61" spans="2:26">
      <c r="B61" s="7" t="s">
        <v>468</v>
      </c>
      <c r="C61" s="7" t="s">
        <v>468</v>
      </c>
      <c r="D61" s="9" t="s">
        <v>172</v>
      </c>
      <c r="E61" s="1" t="s">
        <v>469</v>
      </c>
      <c r="F61" s="1" t="s">
        <v>27</v>
      </c>
      <c r="G61" s="2">
        <v>43</v>
      </c>
      <c r="H61" s="1">
        <v>2243273</v>
      </c>
      <c r="I61" s="1" t="s">
        <v>470</v>
      </c>
      <c r="J61" s="1" t="s">
        <v>464</v>
      </c>
      <c r="K61" s="1" t="s">
        <v>471</v>
      </c>
      <c r="L61" s="1" t="s">
        <v>472</v>
      </c>
      <c r="M61" s="10" t="s">
        <v>32</v>
      </c>
      <c r="N61" t="b">
        <f>Q61=B61</f>
        <v>1</v>
      </c>
      <c r="O61" s="5" t="s">
        <v>186</v>
      </c>
      <c r="P61" s="4" t="s">
        <v>473</v>
      </c>
      <c r="Q61" s="4" t="s">
        <v>468</v>
      </c>
      <c r="R61" s="4" t="s">
        <v>106</v>
      </c>
      <c r="S61" s="3" t="s">
        <v>106</v>
      </c>
      <c r="T61" s="4" t="s">
        <v>188</v>
      </c>
      <c r="U61" s="3" t="s">
        <v>180</v>
      </c>
      <c r="W61" s="1" t="s">
        <v>474</v>
      </c>
      <c r="X61" s="1" t="s">
        <v>270</v>
      </c>
      <c r="Y61" s="1" t="s">
        <v>467</v>
      </c>
      <c r="Z61" t="b">
        <f t="shared" si="0"/>
        <v>0</v>
      </c>
    </row>
    <row r="62" spans="2:26">
      <c r="B62" s="7" t="s">
        <v>475</v>
      </c>
      <c r="C62" s="7" t="s">
        <v>475</v>
      </c>
      <c r="D62" s="9" t="s">
        <v>172</v>
      </c>
      <c r="E62" s="1" t="s">
        <v>476</v>
      </c>
      <c r="F62" s="1" t="s">
        <v>27</v>
      </c>
      <c r="G62" s="2">
        <v>33</v>
      </c>
      <c r="H62" s="1">
        <v>2158429</v>
      </c>
      <c r="I62" s="1" t="s">
        <v>477</v>
      </c>
      <c r="J62" s="1" t="s">
        <v>478</v>
      </c>
      <c r="K62" s="1" t="s">
        <v>175</v>
      </c>
      <c r="L62" s="1" t="s">
        <v>479</v>
      </c>
      <c r="M62" s="10" t="s">
        <v>32</v>
      </c>
      <c r="N62" t="b">
        <f>Q62=B62</f>
        <v>1</v>
      </c>
      <c r="O62" s="5" t="s">
        <v>203</v>
      </c>
      <c r="P62" s="4" t="s">
        <v>480</v>
      </c>
      <c r="Q62" s="4" t="s">
        <v>475</v>
      </c>
      <c r="R62" s="4" t="s">
        <v>106</v>
      </c>
      <c r="S62" s="3" t="s">
        <v>106</v>
      </c>
      <c r="T62" s="4" t="s">
        <v>314</v>
      </c>
      <c r="U62" s="3" t="s">
        <v>180</v>
      </c>
      <c r="W62" s="1" t="s">
        <v>481</v>
      </c>
      <c r="X62" s="1" t="s">
        <v>467</v>
      </c>
      <c r="Y62" s="1" t="s">
        <v>467</v>
      </c>
      <c r="Z62" t="b">
        <f t="shared" si="0"/>
        <v>1</v>
      </c>
    </row>
    <row r="63" spans="2:26">
      <c r="B63" s="7" t="s">
        <v>482</v>
      </c>
      <c r="C63" s="7" t="s">
        <v>482</v>
      </c>
      <c r="D63" s="9" t="s">
        <v>172</v>
      </c>
      <c r="E63" s="1" t="s">
        <v>483</v>
      </c>
      <c r="F63" s="1" t="s">
        <v>27</v>
      </c>
      <c r="G63" s="2">
        <v>86</v>
      </c>
      <c r="H63" s="1">
        <v>1981238</v>
      </c>
      <c r="I63" s="1" t="s">
        <v>484</v>
      </c>
      <c r="J63" s="1" t="s">
        <v>485</v>
      </c>
      <c r="K63" s="1" t="s">
        <v>486</v>
      </c>
      <c r="L63" s="1" t="s">
        <v>487</v>
      </c>
      <c r="M63" s="10" t="s">
        <v>32</v>
      </c>
      <c r="N63" t="b">
        <f>Q63=B63</f>
        <v>1</v>
      </c>
      <c r="O63" s="5" t="s">
        <v>186</v>
      </c>
      <c r="P63" s="4" t="s">
        <v>488</v>
      </c>
      <c r="Q63" s="4" t="s">
        <v>482</v>
      </c>
      <c r="R63" s="4" t="s">
        <v>489</v>
      </c>
      <c r="S63" s="3" t="s">
        <v>34</v>
      </c>
      <c r="T63" s="4" t="s">
        <v>490</v>
      </c>
      <c r="U63" s="3" t="s">
        <v>180</v>
      </c>
      <c r="W63" s="1" t="s">
        <v>491</v>
      </c>
      <c r="X63" s="1" t="s">
        <v>491</v>
      </c>
      <c r="Y63" s="1" t="s">
        <v>491</v>
      </c>
      <c r="Z63" t="b">
        <f t="shared" si="0"/>
        <v>1</v>
      </c>
    </row>
    <row r="64" spans="2:26">
      <c r="B64" s="7" t="s">
        <v>492</v>
      </c>
      <c r="C64" s="7" t="s">
        <v>492</v>
      </c>
      <c r="D64" s="9" t="s">
        <v>25</v>
      </c>
      <c r="E64" s="1" t="s">
        <v>493</v>
      </c>
      <c r="F64" s="1" t="s">
        <v>27</v>
      </c>
      <c r="G64" s="2">
        <v>97</v>
      </c>
      <c r="H64" s="1">
        <v>2235487</v>
      </c>
      <c r="I64" s="1" t="s">
        <v>494</v>
      </c>
      <c r="J64" s="1" t="s">
        <v>29</v>
      </c>
      <c r="K64" s="1" t="s">
        <v>495</v>
      </c>
      <c r="L64" s="1" t="s">
        <v>31</v>
      </c>
      <c r="M64" s="10" t="s">
        <v>32</v>
      </c>
      <c r="N64" t="b">
        <f>Q64=B64</f>
        <v>1</v>
      </c>
      <c r="O64" s="5"/>
      <c r="P64" s="4" t="s">
        <v>496</v>
      </c>
      <c r="Q64" s="4" t="s">
        <v>492</v>
      </c>
      <c r="R64" s="4" t="s">
        <v>34</v>
      </c>
      <c r="S64" s="3" t="s">
        <v>489</v>
      </c>
      <c r="T64" s="4"/>
      <c r="U64" s="3" t="s">
        <v>36</v>
      </c>
      <c r="W64" s="1" t="s">
        <v>98</v>
      </c>
      <c r="X64" s="1" t="s">
        <v>37</v>
      </c>
      <c r="Y64" s="1" t="s">
        <v>37</v>
      </c>
      <c r="Z64" t="b">
        <f t="shared" si="0"/>
        <v>1</v>
      </c>
    </row>
    <row r="65" spans="2:26">
      <c r="B65" s="7" t="s">
        <v>497</v>
      </c>
      <c r="C65" s="7" t="s">
        <v>497</v>
      </c>
      <c r="D65" s="9" t="s">
        <v>172</v>
      </c>
      <c r="E65" s="1" t="s">
        <v>498</v>
      </c>
      <c r="F65" s="1" t="s">
        <v>27</v>
      </c>
      <c r="G65" s="2">
        <v>97</v>
      </c>
      <c r="H65" s="1">
        <v>2194143</v>
      </c>
      <c r="I65" s="1" t="s">
        <v>499</v>
      </c>
      <c r="J65" s="1" t="s">
        <v>500</v>
      </c>
      <c r="K65" s="1" t="s">
        <v>501</v>
      </c>
      <c r="L65" s="1" t="s">
        <v>502</v>
      </c>
      <c r="M65" s="10" t="s">
        <v>32</v>
      </c>
      <c r="N65" t="b">
        <f>Q65=B65</f>
        <v>1</v>
      </c>
      <c r="O65" s="5" t="s">
        <v>177</v>
      </c>
      <c r="P65" s="4" t="s">
        <v>503</v>
      </c>
      <c r="Q65" s="4" t="s">
        <v>497</v>
      </c>
      <c r="R65" s="4" t="s">
        <v>106</v>
      </c>
      <c r="S65" s="3" t="s">
        <v>106</v>
      </c>
      <c r="T65" s="4" t="s">
        <v>205</v>
      </c>
      <c r="U65" s="3" t="s">
        <v>180</v>
      </c>
      <c r="W65" s="1" t="s">
        <v>146</v>
      </c>
      <c r="X65" s="1" t="s">
        <v>146</v>
      </c>
      <c r="Y65" s="1" t="s">
        <v>146</v>
      </c>
      <c r="Z65" t="b">
        <f t="shared" si="0"/>
        <v>1</v>
      </c>
    </row>
    <row r="66" spans="2:26">
      <c r="B66" s="7" t="s">
        <v>504</v>
      </c>
      <c r="C66" s="7" t="s">
        <v>504</v>
      </c>
      <c r="D66" s="9" t="s">
        <v>172</v>
      </c>
      <c r="E66" s="1" t="s">
        <v>505</v>
      </c>
      <c r="F66" s="1" t="s">
        <v>27</v>
      </c>
      <c r="G66" s="2">
        <v>94</v>
      </c>
      <c r="H66" s="1">
        <v>1988857</v>
      </c>
      <c r="I66" s="1" t="s">
        <v>506</v>
      </c>
      <c r="J66" s="1" t="s">
        <v>507</v>
      </c>
      <c r="K66" s="1" t="s">
        <v>218</v>
      </c>
      <c r="L66" s="1" t="s">
        <v>508</v>
      </c>
      <c r="M66" s="10" t="s">
        <v>32</v>
      </c>
      <c r="N66" t="b">
        <f>Q66=B66</f>
        <v>1</v>
      </c>
      <c r="O66" s="5" t="s">
        <v>186</v>
      </c>
      <c r="P66" s="4" t="s">
        <v>509</v>
      </c>
      <c r="Q66" s="4" t="s">
        <v>504</v>
      </c>
      <c r="R66" s="4" t="s">
        <v>489</v>
      </c>
      <c r="S66" s="3" t="s">
        <v>34</v>
      </c>
      <c r="T66" s="4" t="s">
        <v>490</v>
      </c>
      <c r="U66" s="3" t="s">
        <v>180</v>
      </c>
      <c r="W66" s="1" t="s">
        <v>491</v>
      </c>
      <c r="X66" s="1" t="s">
        <v>491</v>
      </c>
      <c r="Y66" s="1" t="s">
        <v>491</v>
      </c>
      <c r="Z66" t="b">
        <f t="shared" si="0"/>
        <v>1</v>
      </c>
    </row>
    <row r="67" spans="2:26">
      <c r="B67" s="7" t="s">
        <v>510</v>
      </c>
      <c r="C67" s="7" t="s">
        <v>510</v>
      </c>
      <c r="D67" s="9" t="s">
        <v>172</v>
      </c>
      <c r="E67" s="1" t="s">
        <v>511</v>
      </c>
      <c r="F67" s="1" t="s">
        <v>27</v>
      </c>
      <c r="G67" s="2">
        <v>150</v>
      </c>
      <c r="H67" s="1">
        <v>2098051</v>
      </c>
      <c r="I67" s="1" t="s">
        <v>512</v>
      </c>
      <c r="J67" s="1" t="s">
        <v>513</v>
      </c>
      <c r="K67" s="1" t="s">
        <v>514</v>
      </c>
      <c r="L67" s="1" t="s">
        <v>515</v>
      </c>
      <c r="M67" s="10" t="s">
        <v>32</v>
      </c>
      <c r="N67" t="b">
        <f>Q67=B67</f>
        <v>1</v>
      </c>
      <c r="O67" s="5" t="s">
        <v>203</v>
      </c>
      <c r="P67" s="4" t="s">
        <v>516</v>
      </c>
      <c r="Q67" s="4" t="s">
        <v>510</v>
      </c>
      <c r="R67" s="4" t="s">
        <v>489</v>
      </c>
      <c r="S67" s="3" t="s">
        <v>34</v>
      </c>
      <c r="T67" s="4" t="s">
        <v>360</v>
      </c>
      <c r="U67" s="3" t="s">
        <v>180</v>
      </c>
      <c r="W67" s="1" t="s">
        <v>37</v>
      </c>
      <c r="X67" s="1" t="s">
        <v>424</v>
      </c>
      <c r="Y67" s="1" t="s">
        <v>424</v>
      </c>
      <c r="Z67" t="b">
        <f t="shared" si="0"/>
        <v>1</v>
      </c>
    </row>
    <row r="68" spans="2:26">
      <c r="B68" s="7" t="s">
        <v>517</v>
      </c>
      <c r="C68" s="7" t="s">
        <v>517</v>
      </c>
      <c r="D68" s="9" t="s">
        <v>172</v>
      </c>
      <c r="E68" s="1" t="s">
        <v>518</v>
      </c>
      <c r="F68" s="1" t="s">
        <v>27</v>
      </c>
      <c r="G68" s="2">
        <v>84</v>
      </c>
      <c r="H68" s="1">
        <v>2194178</v>
      </c>
      <c r="I68" s="1" t="s">
        <v>519</v>
      </c>
      <c r="J68" s="1" t="s">
        <v>500</v>
      </c>
      <c r="K68" s="1" t="s">
        <v>501</v>
      </c>
      <c r="L68" s="1" t="s">
        <v>520</v>
      </c>
      <c r="M68" s="10" t="s">
        <v>32</v>
      </c>
      <c r="N68" t="b">
        <f>Q68=B68</f>
        <v>1</v>
      </c>
      <c r="O68" s="5" t="s">
        <v>203</v>
      </c>
      <c r="P68" s="4" t="s">
        <v>521</v>
      </c>
      <c r="Q68" s="4" t="s">
        <v>517</v>
      </c>
      <c r="R68" s="4" t="s">
        <v>106</v>
      </c>
      <c r="S68" s="3" t="s">
        <v>106</v>
      </c>
      <c r="T68" s="4" t="s">
        <v>205</v>
      </c>
      <c r="U68" s="3" t="s">
        <v>180</v>
      </c>
      <c r="W68" s="1" t="s">
        <v>146</v>
      </c>
      <c r="X68" s="1" t="s">
        <v>146</v>
      </c>
      <c r="Y68" s="1" t="s">
        <v>146</v>
      </c>
      <c r="Z68" t="b">
        <f t="shared" si="0"/>
        <v>1</v>
      </c>
    </row>
    <row r="69" spans="2:26">
      <c r="B69" s="7" t="s">
        <v>522</v>
      </c>
      <c r="C69" s="7" t="s">
        <v>522</v>
      </c>
      <c r="D69" s="9" t="s">
        <v>172</v>
      </c>
      <c r="E69" s="1" t="s">
        <v>523</v>
      </c>
      <c r="F69" s="1" t="s">
        <v>27</v>
      </c>
      <c r="G69" s="2">
        <v>9</v>
      </c>
      <c r="H69" s="1">
        <v>2440071</v>
      </c>
      <c r="I69" s="1" t="s">
        <v>524</v>
      </c>
      <c r="J69" s="1" t="s">
        <v>525</v>
      </c>
      <c r="K69" s="1" t="s">
        <v>290</v>
      </c>
      <c r="L69" s="1" t="s">
        <v>526</v>
      </c>
      <c r="M69" s="10" t="s">
        <v>32</v>
      </c>
      <c r="N69" t="b">
        <f>Q69=B69</f>
        <v>1</v>
      </c>
      <c r="O69" s="5" t="s">
        <v>186</v>
      </c>
      <c r="P69" s="4" t="s">
        <v>527</v>
      </c>
      <c r="Q69" s="4" t="s">
        <v>522</v>
      </c>
      <c r="R69" s="4" t="s">
        <v>65</v>
      </c>
      <c r="S69" s="3" t="s">
        <v>65</v>
      </c>
      <c r="T69" s="4" t="s">
        <v>188</v>
      </c>
      <c r="U69" s="3" t="s">
        <v>180</v>
      </c>
      <c r="W69" s="1" t="s">
        <v>344</v>
      </c>
      <c r="X69" s="1" t="s">
        <v>344</v>
      </c>
      <c r="Y69" s="1" t="s">
        <v>344</v>
      </c>
      <c r="Z69" t="b">
        <f t="shared" ref="Z69:Z99" si="1">Y69=X69</f>
        <v>1</v>
      </c>
    </row>
    <row r="70" spans="2:26">
      <c r="B70" s="7" t="s">
        <v>528</v>
      </c>
      <c r="C70" s="7" t="s">
        <v>528</v>
      </c>
      <c r="D70" s="9" t="s">
        <v>172</v>
      </c>
      <c r="E70" s="1" t="s">
        <v>529</v>
      </c>
      <c r="F70" s="1" t="s">
        <v>27</v>
      </c>
      <c r="G70" s="2">
        <v>58</v>
      </c>
      <c r="H70" s="1">
        <v>2339000</v>
      </c>
      <c r="I70" s="1" t="s">
        <v>530</v>
      </c>
      <c r="J70" s="1" t="s">
        <v>531</v>
      </c>
      <c r="K70" s="1" t="s">
        <v>218</v>
      </c>
      <c r="L70" s="1" t="s">
        <v>120</v>
      </c>
      <c r="M70" s="10" t="s">
        <v>32</v>
      </c>
      <c r="N70" t="b">
        <f>Q70=B70</f>
        <v>1</v>
      </c>
      <c r="O70" s="5" t="s">
        <v>186</v>
      </c>
      <c r="P70" s="4" t="s">
        <v>532</v>
      </c>
      <c r="Q70" s="4" t="s">
        <v>528</v>
      </c>
      <c r="R70" s="4" t="s">
        <v>122</v>
      </c>
      <c r="S70" s="3" t="s">
        <v>89</v>
      </c>
      <c r="T70" s="4" t="s">
        <v>431</v>
      </c>
      <c r="U70" s="3" t="s">
        <v>180</v>
      </c>
      <c r="W70" s="1" t="s">
        <v>299</v>
      </c>
      <c r="X70" s="1" t="s">
        <v>124</v>
      </c>
      <c r="Y70" s="1" t="s">
        <v>124</v>
      </c>
      <c r="Z70" t="b">
        <f t="shared" si="1"/>
        <v>1</v>
      </c>
    </row>
    <row r="71" spans="2:26">
      <c r="B71" s="7" t="s">
        <v>533</v>
      </c>
      <c r="C71" s="7" t="s">
        <v>533</v>
      </c>
      <c r="D71" s="9" t="s">
        <v>172</v>
      </c>
      <c r="E71" s="1" t="s">
        <v>534</v>
      </c>
      <c r="F71" s="1" t="s">
        <v>27</v>
      </c>
      <c r="G71" s="2">
        <v>25</v>
      </c>
      <c r="H71" s="1">
        <v>2489835</v>
      </c>
      <c r="I71" s="1" t="s">
        <v>535</v>
      </c>
      <c r="J71" s="1" t="s">
        <v>62</v>
      </c>
      <c r="K71" s="1" t="s">
        <v>536</v>
      </c>
      <c r="L71" s="1" t="s">
        <v>537</v>
      </c>
      <c r="M71" s="10" t="s">
        <v>32</v>
      </c>
      <c r="N71" t="b">
        <f>Q71=B71</f>
        <v>1</v>
      </c>
      <c r="O71" s="5" t="s">
        <v>186</v>
      </c>
      <c r="P71" s="4" t="s">
        <v>538</v>
      </c>
      <c r="Q71" s="4" t="s">
        <v>533</v>
      </c>
      <c r="R71" s="4" t="s">
        <v>65</v>
      </c>
      <c r="S71" s="3" t="s">
        <v>65</v>
      </c>
      <c r="T71" s="4" t="s">
        <v>188</v>
      </c>
      <c r="U71" s="3" t="s">
        <v>180</v>
      </c>
      <c r="W71" s="1" t="s">
        <v>66</v>
      </c>
      <c r="X71" s="1" t="s">
        <v>66</v>
      </c>
      <c r="Y71" s="1" t="s">
        <v>66</v>
      </c>
      <c r="Z71" t="b">
        <f t="shared" si="1"/>
        <v>1</v>
      </c>
    </row>
    <row r="72" spans="2:26">
      <c r="B72" s="7" t="s">
        <v>539</v>
      </c>
      <c r="C72" s="7" t="s">
        <v>539</v>
      </c>
      <c r="D72" s="9" t="s">
        <v>172</v>
      </c>
      <c r="E72" s="1" t="s">
        <v>540</v>
      </c>
      <c r="F72" s="1" t="s">
        <v>27</v>
      </c>
      <c r="G72" s="2">
        <v>31</v>
      </c>
      <c r="H72" s="1">
        <v>2042412</v>
      </c>
      <c r="I72" s="1" t="s">
        <v>541</v>
      </c>
      <c r="J72" s="1" t="s">
        <v>542</v>
      </c>
      <c r="K72" s="1" t="s">
        <v>104</v>
      </c>
      <c r="L72" s="1" t="s">
        <v>543</v>
      </c>
      <c r="M72" s="10" t="s">
        <v>32</v>
      </c>
      <c r="N72" t="b">
        <f>Q72=B72</f>
        <v>1</v>
      </c>
      <c r="O72" s="5" t="s">
        <v>203</v>
      </c>
      <c r="P72" s="4" t="s">
        <v>544</v>
      </c>
      <c r="Q72" s="4" t="s">
        <v>539</v>
      </c>
      <c r="R72" s="4" t="s">
        <v>106</v>
      </c>
      <c r="S72" s="3" t="s">
        <v>106</v>
      </c>
      <c r="T72" s="4" t="s">
        <v>269</v>
      </c>
      <c r="U72" s="3" t="s">
        <v>180</v>
      </c>
      <c r="W72" s="1" t="s">
        <v>545</v>
      </c>
      <c r="X72" s="1" t="s">
        <v>545</v>
      </c>
      <c r="Y72" s="1" t="s">
        <v>545</v>
      </c>
      <c r="Z72" t="b">
        <f t="shared" si="1"/>
        <v>1</v>
      </c>
    </row>
    <row r="73" spans="2:26">
      <c r="B73" s="7" t="s">
        <v>546</v>
      </c>
      <c r="C73" s="7" t="s">
        <v>546</v>
      </c>
      <c r="D73" s="9" t="s">
        <v>172</v>
      </c>
      <c r="E73" s="1" t="s">
        <v>547</v>
      </c>
      <c r="F73" s="1" t="s">
        <v>27</v>
      </c>
      <c r="G73" s="2">
        <v>109</v>
      </c>
      <c r="H73" s="1">
        <v>2151668</v>
      </c>
      <c r="I73" s="1" t="s">
        <v>548</v>
      </c>
      <c r="J73" s="1" t="s">
        <v>549</v>
      </c>
      <c r="K73" s="1" t="s">
        <v>175</v>
      </c>
      <c r="L73" s="1" t="s">
        <v>550</v>
      </c>
      <c r="M73" s="10" t="s">
        <v>32</v>
      </c>
      <c r="N73" t="b">
        <f>Q73=B73</f>
        <v>1</v>
      </c>
      <c r="O73" s="5" t="s">
        <v>177</v>
      </c>
      <c r="P73" s="4" t="s">
        <v>551</v>
      </c>
      <c r="Q73" s="4" t="s">
        <v>546</v>
      </c>
      <c r="R73" s="4" t="s">
        <v>106</v>
      </c>
      <c r="S73" s="3" t="s">
        <v>106</v>
      </c>
      <c r="T73" s="4" t="s">
        <v>188</v>
      </c>
      <c r="U73" s="3" t="s">
        <v>180</v>
      </c>
      <c r="W73" s="1" t="s">
        <v>146</v>
      </c>
      <c r="X73" s="1" t="s">
        <v>146</v>
      </c>
      <c r="Y73" s="1" t="s">
        <v>146</v>
      </c>
      <c r="Z73" t="b">
        <f t="shared" si="1"/>
        <v>1</v>
      </c>
    </row>
    <row r="74" spans="2:26">
      <c r="B74" s="7" t="s">
        <v>552</v>
      </c>
      <c r="C74" s="7" t="s">
        <v>552</v>
      </c>
      <c r="D74" s="9" t="s">
        <v>172</v>
      </c>
      <c r="E74" s="1" t="s">
        <v>553</v>
      </c>
      <c r="F74" s="1" t="s">
        <v>27</v>
      </c>
      <c r="G74" s="2">
        <v>103</v>
      </c>
      <c r="H74" s="1">
        <v>2327815</v>
      </c>
      <c r="I74" s="1" t="s">
        <v>554</v>
      </c>
      <c r="J74" s="1" t="s">
        <v>383</v>
      </c>
      <c r="K74" s="1" t="s">
        <v>240</v>
      </c>
      <c r="L74" s="1" t="s">
        <v>120</v>
      </c>
      <c r="M74" s="10" t="s">
        <v>32</v>
      </c>
      <c r="N74" t="b">
        <f>Q74=B74</f>
        <v>1</v>
      </c>
      <c r="O74" s="5" t="s">
        <v>186</v>
      </c>
      <c r="P74" s="4" t="s">
        <v>555</v>
      </c>
      <c r="Q74" s="4" t="s">
        <v>552</v>
      </c>
      <c r="R74" s="4" t="s">
        <v>122</v>
      </c>
      <c r="S74" s="3" t="s">
        <v>122</v>
      </c>
      <c r="T74" s="4" t="s">
        <v>188</v>
      </c>
      <c r="U74" s="3" t="s">
        <v>180</v>
      </c>
      <c r="W74" s="1" t="s">
        <v>123</v>
      </c>
      <c r="X74" s="1" t="s">
        <v>124</v>
      </c>
      <c r="Y74" s="1" t="s">
        <v>124</v>
      </c>
      <c r="Z74" t="b">
        <f t="shared" si="1"/>
        <v>1</v>
      </c>
    </row>
    <row r="75" spans="2:26">
      <c r="B75" s="7" t="s">
        <v>556</v>
      </c>
      <c r="C75" s="7" t="s">
        <v>556</v>
      </c>
      <c r="D75" s="9" t="s">
        <v>172</v>
      </c>
      <c r="E75" s="1" t="s">
        <v>557</v>
      </c>
      <c r="F75" s="1" t="s">
        <v>27</v>
      </c>
      <c r="G75" s="2">
        <v>17</v>
      </c>
      <c r="H75" s="1">
        <v>2438495</v>
      </c>
      <c r="I75" s="1" t="s">
        <v>558</v>
      </c>
      <c r="J75" s="1" t="s">
        <v>559</v>
      </c>
      <c r="K75" s="1" t="s">
        <v>290</v>
      </c>
      <c r="L75" s="1" t="s">
        <v>560</v>
      </c>
      <c r="M75" s="10" t="s">
        <v>32</v>
      </c>
      <c r="N75" t="b">
        <f>Q75=B75</f>
        <v>1</v>
      </c>
      <c r="O75" s="5" t="s">
        <v>186</v>
      </c>
      <c r="P75" s="4" t="s">
        <v>561</v>
      </c>
      <c r="Q75" s="4" t="s">
        <v>556</v>
      </c>
      <c r="R75" s="4" t="s">
        <v>65</v>
      </c>
      <c r="S75" s="3" t="s">
        <v>65</v>
      </c>
      <c r="T75" s="4" t="s">
        <v>188</v>
      </c>
      <c r="U75" s="3" t="s">
        <v>180</v>
      </c>
      <c r="W75" s="1" t="s">
        <v>344</v>
      </c>
      <c r="X75" s="1" t="s">
        <v>344</v>
      </c>
      <c r="Y75" s="1" t="s">
        <v>344</v>
      </c>
      <c r="Z75" t="b">
        <f t="shared" si="1"/>
        <v>1</v>
      </c>
    </row>
    <row r="76" spans="2:26">
      <c r="B76" s="7" t="s">
        <v>562</v>
      </c>
      <c r="C76" s="7" t="s">
        <v>562</v>
      </c>
      <c r="D76" s="9" t="s">
        <v>172</v>
      </c>
      <c r="E76" s="1" t="s">
        <v>563</v>
      </c>
      <c r="F76" s="1" t="s">
        <v>27</v>
      </c>
      <c r="G76" s="2">
        <v>59</v>
      </c>
      <c r="H76" s="1">
        <v>2364824</v>
      </c>
      <c r="I76" s="1" t="s">
        <v>564</v>
      </c>
      <c r="J76" s="1" t="s">
        <v>565</v>
      </c>
      <c r="K76" s="1" t="s">
        <v>30</v>
      </c>
      <c r="L76" s="1" t="s">
        <v>120</v>
      </c>
      <c r="M76" s="10" t="s">
        <v>32</v>
      </c>
      <c r="N76" t="b">
        <f>Q76=B76</f>
        <v>1</v>
      </c>
      <c r="O76" s="5" t="s">
        <v>177</v>
      </c>
      <c r="P76" s="4" t="s">
        <v>566</v>
      </c>
      <c r="Q76" s="4" t="s">
        <v>562</v>
      </c>
      <c r="R76" s="4" t="s">
        <v>122</v>
      </c>
      <c r="S76" s="3" t="s">
        <v>122</v>
      </c>
      <c r="T76" s="4" t="s">
        <v>431</v>
      </c>
      <c r="U76" s="3" t="s">
        <v>180</v>
      </c>
      <c r="W76" s="1" t="s">
        <v>299</v>
      </c>
      <c r="X76" s="1" t="s">
        <v>124</v>
      </c>
      <c r="Y76" s="1" t="s">
        <v>124</v>
      </c>
      <c r="Z76" t="b">
        <f t="shared" si="1"/>
        <v>1</v>
      </c>
    </row>
    <row r="77" spans="2:26">
      <c r="B77" s="7" t="s">
        <v>567</v>
      </c>
      <c r="C77" s="7" t="s">
        <v>567</v>
      </c>
      <c r="D77" s="9" t="s">
        <v>568</v>
      </c>
      <c r="E77" s="1" t="s">
        <v>569</v>
      </c>
      <c r="F77" s="1" t="s">
        <v>27</v>
      </c>
      <c r="G77" s="2">
        <v>41</v>
      </c>
      <c r="H77" s="1">
        <v>1965752</v>
      </c>
      <c r="I77" s="1" t="s">
        <v>570</v>
      </c>
      <c r="J77" s="1" t="s">
        <v>571</v>
      </c>
      <c r="K77" s="1" t="s">
        <v>397</v>
      </c>
      <c r="L77" s="1" t="s">
        <v>572</v>
      </c>
      <c r="M77" s="10" t="s">
        <v>32</v>
      </c>
      <c r="N77" t="b">
        <f>Q77=B77</f>
        <v>1</v>
      </c>
      <c r="O77" s="5" t="s">
        <v>186</v>
      </c>
      <c r="P77" s="4" t="s">
        <v>573</v>
      </c>
      <c r="Q77" s="4" t="s">
        <v>567</v>
      </c>
      <c r="R77" s="4" t="s">
        <v>55</v>
      </c>
      <c r="S77" s="3" t="s">
        <v>55</v>
      </c>
      <c r="T77" s="4" t="s">
        <v>188</v>
      </c>
      <c r="U77" s="3" t="s">
        <v>574</v>
      </c>
      <c r="W77" s="1" t="s">
        <v>56</v>
      </c>
      <c r="X77" s="1" t="s">
        <v>57</v>
      </c>
      <c r="Y77" s="1" t="s">
        <v>57</v>
      </c>
      <c r="Z77" t="b">
        <f t="shared" si="1"/>
        <v>1</v>
      </c>
    </row>
    <row r="78" spans="2:26">
      <c r="B78" s="7" t="s">
        <v>575</v>
      </c>
      <c r="C78" s="7" t="s">
        <v>575</v>
      </c>
      <c r="D78" s="9" t="s">
        <v>172</v>
      </c>
      <c r="E78" s="1" t="s">
        <v>576</v>
      </c>
      <c r="F78" s="1" t="s">
        <v>27</v>
      </c>
      <c r="G78" s="2">
        <v>57</v>
      </c>
      <c r="H78" s="1">
        <v>2041903</v>
      </c>
      <c r="I78" s="1" t="s">
        <v>577</v>
      </c>
      <c r="J78" s="1" t="s">
        <v>578</v>
      </c>
      <c r="K78" s="1" t="s">
        <v>290</v>
      </c>
      <c r="L78" s="1" t="s">
        <v>44</v>
      </c>
      <c r="M78" s="10" t="s">
        <v>32</v>
      </c>
      <c r="N78" t="b">
        <f>Q78=B78</f>
        <v>1</v>
      </c>
      <c r="O78" s="5" t="s">
        <v>186</v>
      </c>
      <c r="P78" s="4" t="s">
        <v>579</v>
      </c>
      <c r="Q78" s="4" t="s">
        <v>575</v>
      </c>
      <c r="R78" s="4" t="s">
        <v>34</v>
      </c>
      <c r="S78" s="3" t="s">
        <v>34</v>
      </c>
      <c r="T78" s="4" t="s">
        <v>188</v>
      </c>
      <c r="U78" s="3" t="s">
        <v>180</v>
      </c>
      <c r="W78" s="1" t="s">
        <v>37</v>
      </c>
      <c r="X78" s="1" t="s">
        <v>580</v>
      </c>
      <c r="Y78" s="1" t="s">
        <v>580</v>
      </c>
      <c r="Z78" t="b">
        <f t="shared" si="1"/>
        <v>1</v>
      </c>
    </row>
    <row r="79" spans="2:26">
      <c r="B79" s="7" t="s">
        <v>581</v>
      </c>
      <c r="C79" s="7" t="s">
        <v>581</v>
      </c>
      <c r="D79" s="9" t="s">
        <v>172</v>
      </c>
      <c r="E79" s="1" t="s">
        <v>582</v>
      </c>
      <c r="F79" s="1" t="s">
        <v>27</v>
      </c>
      <c r="G79" s="2">
        <v>67</v>
      </c>
      <c r="H79" s="1">
        <v>2173133</v>
      </c>
      <c r="I79" s="1" t="s">
        <v>583</v>
      </c>
      <c r="J79" s="1" t="s">
        <v>584</v>
      </c>
      <c r="K79" s="1" t="s">
        <v>585</v>
      </c>
      <c r="L79" s="1" t="s">
        <v>586</v>
      </c>
      <c r="M79" s="10" t="s">
        <v>32</v>
      </c>
      <c r="N79" t="b">
        <f>Q79=B79</f>
        <v>1</v>
      </c>
      <c r="O79" s="5" t="s">
        <v>186</v>
      </c>
      <c r="P79" s="4" t="s">
        <v>587</v>
      </c>
      <c r="Q79" s="4" t="s">
        <v>581</v>
      </c>
      <c r="R79" s="4" t="s">
        <v>122</v>
      </c>
      <c r="S79" s="3" t="s">
        <v>122</v>
      </c>
      <c r="T79" s="4" t="s">
        <v>188</v>
      </c>
      <c r="U79" s="3" t="s">
        <v>180</v>
      </c>
      <c r="W79" s="1" t="s">
        <v>315</v>
      </c>
      <c r="X79" s="1" t="s">
        <v>315</v>
      </c>
      <c r="Y79" s="1" t="s">
        <v>315</v>
      </c>
      <c r="Z79" t="b">
        <f t="shared" si="1"/>
        <v>1</v>
      </c>
    </row>
    <row r="80" spans="2:26">
      <c r="B80" s="7" t="s">
        <v>588</v>
      </c>
      <c r="C80" s="7" t="s">
        <v>588</v>
      </c>
      <c r="D80" s="9" t="s">
        <v>568</v>
      </c>
      <c r="E80" s="1" t="s">
        <v>589</v>
      </c>
      <c r="F80" s="1" t="s">
        <v>27</v>
      </c>
      <c r="G80" s="2">
        <v>68</v>
      </c>
      <c r="H80" s="1">
        <v>2009287</v>
      </c>
      <c r="I80" s="1" t="s">
        <v>590</v>
      </c>
      <c r="J80" s="1" t="s">
        <v>591</v>
      </c>
      <c r="K80" s="1" t="s">
        <v>592</v>
      </c>
      <c r="L80" s="1" t="s">
        <v>593</v>
      </c>
      <c r="M80" s="10" t="s">
        <v>32</v>
      </c>
      <c r="N80" t="b">
        <f>Q80=B80</f>
        <v>1</v>
      </c>
      <c r="O80" s="5" t="s">
        <v>186</v>
      </c>
      <c r="P80" s="4" t="s">
        <v>594</v>
      </c>
      <c r="Q80" s="4" t="s">
        <v>588</v>
      </c>
      <c r="R80" s="4" t="s">
        <v>55</v>
      </c>
      <c r="S80" s="3" t="s">
        <v>55</v>
      </c>
      <c r="T80" s="4" t="s">
        <v>188</v>
      </c>
      <c r="U80" s="3" t="s">
        <v>574</v>
      </c>
      <c r="W80" s="1" t="s">
        <v>56</v>
      </c>
      <c r="X80" s="1" t="s">
        <v>57</v>
      </c>
      <c r="Y80" s="1" t="s">
        <v>57</v>
      </c>
      <c r="Z80" t="b">
        <f t="shared" si="1"/>
        <v>1</v>
      </c>
    </row>
    <row r="81" spans="2:26">
      <c r="B81" s="7" t="s">
        <v>595</v>
      </c>
      <c r="C81" s="7" t="s">
        <v>595</v>
      </c>
      <c r="D81" s="9" t="s">
        <v>568</v>
      </c>
      <c r="E81" s="1" t="s">
        <v>596</v>
      </c>
      <c r="F81" s="1" t="s">
        <v>27</v>
      </c>
      <c r="G81" s="2">
        <v>17</v>
      </c>
      <c r="H81" s="1">
        <v>2036553</v>
      </c>
      <c r="I81" s="1" t="s">
        <v>597</v>
      </c>
      <c r="J81" s="1" t="s">
        <v>598</v>
      </c>
      <c r="K81" s="1" t="s">
        <v>233</v>
      </c>
      <c r="L81" s="1" t="s">
        <v>599</v>
      </c>
      <c r="M81" s="10" t="s">
        <v>32</v>
      </c>
      <c r="N81" t="b">
        <f>Q81=B81</f>
        <v>1</v>
      </c>
      <c r="O81" s="5" t="s">
        <v>186</v>
      </c>
      <c r="P81" s="4" t="s">
        <v>600</v>
      </c>
      <c r="Q81" s="4" t="s">
        <v>595</v>
      </c>
      <c r="R81" s="4" t="s">
        <v>106</v>
      </c>
      <c r="S81" s="3" t="s">
        <v>106</v>
      </c>
      <c r="T81" s="4" t="s">
        <v>188</v>
      </c>
      <c r="U81" s="3" t="s">
        <v>574</v>
      </c>
      <c r="W81" s="1" t="s">
        <v>601</v>
      </c>
      <c r="X81" s="1" t="s">
        <v>206</v>
      </c>
      <c r="Y81" s="1" t="s">
        <v>206</v>
      </c>
      <c r="Z81" t="b">
        <f t="shared" si="1"/>
        <v>1</v>
      </c>
    </row>
    <row r="82" spans="2:26">
      <c r="B82" s="7" t="s">
        <v>602</v>
      </c>
      <c r="C82" s="7" t="s">
        <v>602</v>
      </c>
      <c r="D82" s="9" t="s">
        <v>568</v>
      </c>
      <c r="E82" s="1" t="s">
        <v>603</v>
      </c>
      <c r="F82" s="1" t="s">
        <v>27</v>
      </c>
      <c r="G82" s="2">
        <v>30</v>
      </c>
      <c r="H82" s="1">
        <v>2182808</v>
      </c>
      <c r="I82" s="1" t="s">
        <v>604</v>
      </c>
      <c r="J82" s="1" t="s">
        <v>605</v>
      </c>
      <c r="K82" s="1" t="s">
        <v>606</v>
      </c>
      <c r="L82" s="1" t="s">
        <v>607</v>
      </c>
      <c r="M82" s="10" t="s">
        <v>32</v>
      </c>
      <c r="N82" t="b">
        <f>Q82=B82</f>
        <v>1</v>
      </c>
      <c r="O82" s="5" t="s">
        <v>177</v>
      </c>
      <c r="P82" s="4" t="s">
        <v>608</v>
      </c>
      <c r="Q82" s="4" t="s">
        <v>602</v>
      </c>
      <c r="R82" s="4" t="s">
        <v>106</v>
      </c>
      <c r="S82" s="3" t="s">
        <v>106</v>
      </c>
      <c r="T82" s="4" t="s">
        <v>269</v>
      </c>
      <c r="U82" s="3" t="s">
        <v>574</v>
      </c>
      <c r="W82" s="1" t="s">
        <v>609</v>
      </c>
      <c r="X82" s="1" t="s">
        <v>610</v>
      </c>
      <c r="Y82" s="1" t="s">
        <v>610</v>
      </c>
      <c r="Z82" t="b">
        <f t="shared" si="1"/>
        <v>1</v>
      </c>
    </row>
    <row r="83" spans="2:26">
      <c r="B83" s="7" t="s">
        <v>611</v>
      </c>
      <c r="C83" s="7" t="s">
        <v>611</v>
      </c>
      <c r="D83" s="9" t="s">
        <v>568</v>
      </c>
      <c r="E83" s="1" t="s">
        <v>612</v>
      </c>
      <c r="F83" s="1" t="s">
        <v>27</v>
      </c>
      <c r="G83" s="2">
        <v>99</v>
      </c>
      <c r="H83" s="1">
        <v>2101968</v>
      </c>
      <c r="I83" s="1" t="s">
        <v>613</v>
      </c>
      <c r="J83" s="1" t="s">
        <v>614</v>
      </c>
      <c r="K83" s="1" t="s">
        <v>290</v>
      </c>
      <c r="L83" s="1" t="s">
        <v>487</v>
      </c>
      <c r="M83" s="10" t="s">
        <v>32</v>
      </c>
      <c r="N83" t="b">
        <f>Q83=B83</f>
        <v>1</v>
      </c>
      <c r="O83" s="5" t="s">
        <v>186</v>
      </c>
      <c r="P83" s="4" t="s">
        <v>615</v>
      </c>
      <c r="Q83" s="4" t="s">
        <v>611</v>
      </c>
      <c r="R83" s="4" t="s">
        <v>34</v>
      </c>
      <c r="S83" s="3" t="s">
        <v>34</v>
      </c>
      <c r="T83" s="4" t="s">
        <v>188</v>
      </c>
      <c r="U83" s="3" t="s">
        <v>574</v>
      </c>
      <c r="W83" s="1" t="s">
        <v>616</v>
      </c>
      <c r="X83" s="1" t="s">
        <v>616</v>
      </c>
      <c r="Y83" s="1" t="s">
        <v>616</v>
      </c>
      <c r="Z83" t="b">
        <f t="shared" si="1"/>
        <v>1</v>
      </c>
    </row>
    <row r="84" spans="2:26">
      <c r="B84" s="7" t="s">
        <v>617</v>
      </c>
      <c r="C84" s="7" t="s">
        <v>617</v>
      </c>
      <c r="D84" s="9" t="s">
        <v>568</v>
      </c>
      <c r="E84" s="1" t="s">
        <v>618</v>
      </c>
      <c r="F84" s="1" t="s">
        <v>27</v>
      </c>
      <c r="G84" s="2">
        <v>104</v>
      </c>
      <c r="H84" s="1">
        <v>2097367</v>
      </c>
      <c r="I84" s="1" t="s">
        <v>619</v>
      </c>
      <c r="J84" s="1" t="s">
        <v>620</v>
      </c>
      <c r="K84" s="1" t="s">
        <v>290</v>
      </c>
      <c r="L84" s="1" t="s">
        <v>487</v>
      </c>
      <c r="M84" s="10" t="s">
        <v>153</v>
      </c>
      <c r="N84" t="b">
        <f>Q84=B84</f>
        <v>1</v>
      </c>
      <c r="O84" s="5" t="s">
        <v>186</v>
      </c>
      <c r="P84" s="4" t="s">
        <v>621</v>
      </c>
      <c r="Q84" s="4" t="s">
        <v>617</v>
      </c>
      <c r="R84" s="4" t="s">
        <v>122</v>
      </c>
      <c r="S84" s="3" t="s">
        <v>89</v>
      </c>
      <c r="T84" s="4" t="s">
        <v>188</v>
      </c>
      <c r="U84" s="3" t="s">
        <v>574</v>
      </c>
      <c r="W84" s="1" t="s">
        <v>616</v>
      </c>
      <c r="X84" s="1" t="s">
        <v>616</v>
      </c>
      <c r="Y84" s="1" t="s">
        <v>616</v>
      </c>
      <c r="Z84" t="b">
        <f t="shared" si="1"/>
        <v>1</v>
      </c>
    </row>
    <row r="85" spans="2:26">
      <c r="B85" s="7" t="s">
        <v>622</v>
      </c>
      <c r="C85" s="7" t="s">
        <v>622</v>
      </c>
      <c r="D85" s="9" t="s">
        <v>568</v>
      </c>
      <c r="E85" s="1" t="s">
        <v>623</v>
      </c>
      <c r="F85" s="1" t="s">
        <v>27</v>
      </c>
      <c r="G85" s="2">
        <v>22</v>
      </c>
      <c r="H85" s="1">
        <v>2005923</v>
      </c>
      <c r="I85" s="1" t="s">
        <v>624</v>
      </c>
      <c r="J85" s="1" t="s">
        <v>625</v>
      </c>
      <c r="K85" s="1" t="s">
        <v>501</v>
      </c>
      <c r="L85" s="1" t="s">
        <v>626</v>
      </c>
      <c r="M85" s="10" t="s">
        <v>32</v>
      </c>
      <c r="N85" t="b">
        <f>Q85=B85</f>
        <v>1</v>
      </c>
      <c r="O85" s="5" t="s">
        <v>203</v>
      </c>
      <c r="P85" s="4" t="s">
        <v>627</v>
      </c>
      <c r="Q85" s="4" t="s">
        <v>622</v>
      </c>
      <c r="R85" s="4" t="s">
        <v>106</v>
      </c>
      <c r="S85" s="3" t="s">
        <v>106</v>
      </c>
      <c r="T85" s="4" t="s">
        <v>188</v>
      </c>
      <c r="U85" s="3" t="s">
        <v>574</v>
      </c>
      <c r="W85" s="1" t="s">
        <v>206</v>
      </c>
      <c r="X85" s="1" t="s">
        <v>206</v>
      </c>
      <c r="Y85" s="1" t="s">
        <v>206</v>
      </c>
      <c r="Z85" t="b">
        <f t="shared" si="1"/>
        <v>1</v>
      </c>
    </row>
    <row r="86" spans="2:26">
      <c r="B86" s="7" t="s">
        <v>628</v>
      </c>
      <c r="C86" s="7" t="s">
        <v>628</v>
      </c>
      <c r="D86" s="9" t="s">
        <v>568</v>
      </c>
      <c r="E86" s="1" t="s">
        <v>629</v>
      </c>
      <c r="F86" s="1" t="s">
        <v>27</v>
      </c>
      <c r="G86" s="2">
        <v>51</v>
      </c>
      <c r="H86" s="1">
        <v>2016117</v>
      </c>
      <c r="I86" s="1" t="s">
        <v>630</v>
      </c>
      <c r="J86" s="1" t="s">
        <v>631</v>
      </c>
      <c r="K86" s="1" t="s">
        <v>327</v>
      </c>
      <c r="L86" s="1" t="s">
        <v>632</v>
      </c>
      <c r="M86" s="10" t="s">
        <v>32</v>
      </c>
      <c r="N86" t="b">
        <f>Q86=B86</f>
        <v>1</v>
      </c>
      <c r="O86" s="5" t="s">
        <v>186</v>
      </c>
      <c r="P86" s="4" t="s">
        <v>633</v>
      </c>
      <c r="Q86" s="4" t="s">
        <v>628</v>
      </c>
      <c r="R86" s="4" t="s">
        <v>34</v>
      </c>
      <c r="S86" s="3" t="s">
        <v>34</v>
      </c>
      <c r="T86" s="4" t="s">
        <v>188</v>
      </c>
      <c r="U86" s="3" t="s">
        <v>574</v>
      </c>
      <c r="W86" s="1" t="s">
        <v>634</v>
      </c>
      <c r="X86" s="1" t="s">
        <v>635</v>
      </c>
      <c r="Y86" s="1" t="s">
        <v>635</v>
      </c>
      <c r="Z86" t="b">
        <f t="shared" si="1"/>
        <v>1</v>
      </c>
    </row>
    <row r="87" spans="2:26">
      <c r="B87" s="7" t="s">
        <v>636</v>
      </c>
      <c r="C87" s="7" t="s">
        <v>636</v>
      </c>
      <c r="D87" s="9" t="s">
        <v>568</v>
      </c>
      <c r="E87" s="1" t="s">
        <v>637</v>
      </c>
      <c r="F87" s="1" t="s">
        <v>27</v>
      </c>
      <c r="G87" s="2">
        <v>26</v>
      </c>
      <c r="H87" s="1">
        <v>2177941</v>
      </c>
      <c r="I87" s="1" t="s">
        <v>638</v>
      </c>
      <c r="J87" s="1" t="s">
        <v>639</v>
      </c>
      <c r="K87" s="1" t="s">
        <v>175</v>
      </c>
      <c r="L87" s="1" t="s">
        <v>640</v>
      </c>
      <c r="M87" s="10" t="s">
        <v>32</v>
      </c>
      <c r="N87" t="b">
        <f>Q87=B87</f>
        <v>1</v>
      </c>
      <c r="O87" s="5" t="s">
        <v>177</v>
      </c>
      <c r="P87" s="4" t="s">
        <v>641</v>
      </c>
      <c r="Q87" s="4" t="s">
        <v>636</v>
      </c>
      <c r="R87" s="4" t="s">
        <v>106</v>
      </c>
      <c r="S87" s="3" t="s">
        <v>106</v>
      </c>
      <c r="T87" s="4" t="s">
        <v>371</v>
      </c>
      <c r="U87" s="3" t="s">
        <v>574</v>
      </c>
      <c r="W87" s="1" t="s">
        <v>642</v>
      </c>
      <c r="X87" s="1" t="s">
        <v>643</v>
      </c>
      <c r="Y87" s="1" t="s">
        <v>610</v>
      </c>
      <c r="Z87" t="b">
        <f t="shared" si="1"/>
        <v>0</v>
      </c>
    </row>
    <row r="88" spans="2:26">
      <c r="B88" s="7" t="s">
        <v>644</v>
      </c>
      <c r="C88" s="7" t="s">
        <v>644</v>
      </c>
      <c r="D88" s="9" t="s">
        <v>568</v>
      </c>
      <c r="E88" s="1" t="s">
        <v>645</v>
      </c>
      <c r="F88" s="1" t="s">
        <v>27</v>
      </c>
      <c r="G88" s="2">
        <v>84</v>
      </c>
      <c r="H88" s="1">
        <v>2232502</v>
      </c>
      <c r="I88" s="1" t="s">
        <v>646</v>
      </c>
      <c r="J88" s="1" t="s">
        <v>565</v>
      </c>
      <c r="K88" s="1"/>
      <c r="L88" s="1" t="s">
        <v>120</v>
      </c>
      <c r="M88" s="10" t="s">
        <v>32</v>
      </c>
      <c r="N88" t="b">
        <f>Q88=B88</f>
        <v>1</v>
      </c>
      <c r="O88" s="5" t="s">
        <v>177</v>
      </c>
      <c r="P88" s="4" t="s">
        <v>647</v>
      </c>
      <c r="Q88" s="4" t="s">
        <v>644</v>
      </c>
      <c r="R88" s="4" t="s">
        <v>122</v>
      </c>
      <c r="S88" s="3" t="s">
        <v>122</v>
      </c>
      <c r="T88" s="4" t="s">
        <v>179</v>
      </c>
      <c r="U88" s="3" t="s">
        <v>574</v>
      </c>
      <c r="W88" s="1" t="s">
        <v>299</v>
      </c>
      <c r="X88" s="1" t="s">
        <v>124</v>
      </c>
      <c r="Y88" s="1" t="s">
        <v>124</v>
      </c>
      <c r="Z88" t="b">
        <f t="shared" si="1"/>
        <v>1</v>
      </c>
    </row>
    <row r="89" spans="2:26">
      <c r="B89" s="7" t="s">
        <v>648</v>
      </c>
      <c r="C89" s="7" t="s">
        <v>648</v>
      </c>
      <c r="D89" s="9" t="s">
        <v>568</v>
      </c>
      <c r="E89" s="1" t="s">
        <v>649</v>
      </c>
      <c r="F89" s="1" t="s">
        <v>27</v>
      </c>
      <c r="G89" s="2">
        <v>52</v>
      </c>
      <c r="H89" s="1">
        <v>1898478</v>
      </c>
      <c r="I89" s="1" t="s">
        <v>650</v>
      </c>
      <c r="J89" s="1" t="s">
        <v>651</v>
      </c>
      <c r="K89" s="1" t="s">
        <v>327</v>
      </c>
      <c r="L89" s="1" t="s">
        <v>44</v>
      </c>
      <c r="M89" s="10" t="s">
        <v>32</v>
      </c>
      <c r="N89" t="b">
        <f>Q89=B89</f>
        <v>1</v>
      </c>
      <c r="O89" s="5" t="s">
        <v>186</v>
      </c>
      <c r="P89" s="4" t="s">
        <v>652</v>
      </c>
      <c r="Q89" s="4" t="s">
        <v>648</v>
      </c>
      <c r="R89" s="4" t="s">
        <v>653</v>
      </c>
      <c r="S89" s="3" t="s">
        <v>653</v>
      </c>
      <c r="T89" s="4" t="s">
        <v>188</v>
      </c>
      <c r="U89" s="3" t="s">
        <v>574</v>
      </c>
      <c r="W89" s="1" t="s">
        <v>654</v>
      </c>
      <c r="X89" s="1" t="s">
        <v>654</v>
      </c>
      <c r="Y89" s="1" t="s">
        <v>654</v>
      </c>
      <c r="Z89" t="b">
        <f t="shared" si="1"/>
        <v>1</v>
      </c>
    </row>
    <row r="90" spans="2:26">
      <c r="B90" s="7" t="s">
        <v>655</v>
      </c>
      <c r="C90" s="7" t="s">
        <v>655</v>
      </c>
      <c r="D90" s="9" t="s">
        <v>568</v>
      </c>
      <c r="E90" s="1" t="s">
        <v>656</v>
      </c>
      <c r="F90" s="1" t="s">
        <v>27</v>
      </c>
      <c r="G90" s="2">
        <v>57</v>
      </c>
      <c r="H90" s="1">
        <v>2209943</v>
      </c>
      <c r="I90" s="1" t="s">
        <v>657</v>
      </c>
      <c r="J90" s="1" t="s">
        <v>389</v>
      </c>
      <c r="K90" s="1" t="s">
        <v>471</v>
      </c>
      <c r="L90" s="1" t="s">
        <v>658</v>
      </c>
      <c r="M90" s="10" t="s">
        <v>32</v>
      </c>
      <c r="N90" t="b">
        <f>Q90=B90</f>
        <v>1</v>
      </c>
      <c r="O90" s="5" t="s">
        <v>186</v>
      </c>
      <c r="P90" s="4" t="s">
        <v>659</v>
      </c>
      <c r="Q90" s="4" t="s">
        <v>655</v>
      </c>
      <c r="R90" s="4" t="s">
        <v>106</v>
      </c>
      <c r="S90" s="3" t="s">
        <v>106</v>
      </c>
      <c r="T90" s="4" t="s">
        <v>188</v>
      </c>
      <c r="U90" s="3" t="s">
        <v>574</v>
      </c>
      <c r="W90" s="1" t="s">
        <v>146</v>
      </c>
      <c r="X90" s="1" t="s">
        <v>146</v>
      </c>
      <c r="Y90" s="1" t="s">
        <v>146</v>
      </c>
      <c r="Z90" t="b">
        <f t="shared" si="1"/>
        <v>1</v>
      </c>
    </row>
    <row r="91" spans="2:26">
      <c r="B91" s="7" t="s">
        <v>660</v>
      </c>
      <c r="C91" s="7" t="s">
        <v>660</v>
      </c>
      <c r="D91" s="9" t="s">
        <v>568</v>
      </c>
      <c r="E91" s="1" t="s">
        <v>661</v>
      </c>
      <c r="F91" s="1" t="s">
        <v>27</v>
      </c>
      <c r="G91" s="2">
        <v>49</v>
      </c>
      <c r="H91" s="1">
        <v>2046947</v>
      </c>
      <c r="I91" s="1" t="s">
        <v>662</v>
      </c>
      <c r="J91" s="1" t="s">
        <v>663</v>
      </c>
      <c r="K91" s="1" t="s">
        <v>218</v>
      </c>
      <c r="L91" s="1" t="s">
        <v>664</v>
      </c>
      <c r="M91" s="10" t="s">
        <v>32</v>
      </c>
      <c r="N91" t="b">
        <f>Q91=B91</f>
        <v>1</v>
      </c>
      <c r="O91" s="5" t="s">
        <v>186</v>
      </c>
      <c r="P91" s="4" t="s">
        <v>665</v>
      </c>
      <c r="Q91" s="4" t="s">
        <v>660</v>
      </c>
      <c r="R91" s="4" t="s">
        <v>34</v>
      </c>
      <c r="S91" s="3" t="s">
        <v>34</v>
      </c>
      <c r="T91" s="4" t="s">
        <v>188</v>
      </c>
      <c r="U91" s="3" t="s">
        <v>574</v>
      </c>
      <c r="W91" s="1" t="s">
        <v>635</v>
      </c>
      <c r="X91" s="1" t="s">
        <v>635</v>
      </c>
      <c r="Y91" s="1" t="s">
        <v>635</v>
      </c>
      <c r="Z91" t="b">
        <f t="shared" si="1"/>
        <v>1</v>
      </c>
    </row>
    <row r="92" spans="2:26">
      <c r="B92" s="7" t="s">
        <v>666</v>
      </c>
      <c r="C92" s="7" t="s">
        <v>666</v>
      </c>
      <c r="D92" s="9" t="s">
        <v>568</v>
      </c>
      <c r="E92" s="1" t="s">
        <v>667</v>
      </c>
      <c r="F92" s="1" t="s">
        <v>27</v>
      </c>
      <c r="G92" s="2">
        <v>79</v>
      </c>
      <c r="H92" s="1">
        <v>2135718</v>
      </c>
      <c r="I92" s="1" t="s">
        <v>668</v>
      </c>
      <c r="J92" s="1" t="s">
        <v>383</v>
      </c>
      <c r="K92" s="1" t="s">
        <v>226</v>
      </c>
      <c r="L92" s="1" t="s">
        <v>120</v>
      </c>
      <c r="M92" s="10" t="s">
        <v>32</v>
      </c>
      <c r="N92" t="b">
        <f>Q92=B92</f>
        <v>1</v>
      </c>
      <c r="O92" s="5" t="s">
        <v>186</v>
      </c>
      <c r="P92" s="4" t="s">
        <v>669</v>
      </c>
      <c r="Q92" s="4" t="s">
        <v>666</v>
      </c>
      <c r="R92" s="4" t="s">
        <v>89</v>
      </c>
      <c r="S92" s="3" t="s">
        <v>122</v>
      </c>
      <c r="T92" s="4" t="s">
        <v>188</v>
      </c>
      <c r="U92" s="3" t="s">
        <v>574</v>
      </c>
      <c r="W92" s="1" t="s">
        <v>299</v>
      </c>
      <c r="X92" s="1" t="s">
        <v>124</v>
      </c>
      <c r="Y92" s="1" t="s">
        <v>124</v>
      </c>
      <c r="Z92" t="b">
        <f t="shared" si="1"/>
        <v>1</v>
      </c>
    </row>
    <row r="93" spans="2:26">
      <c r="B93" s="7" t="s">
        <v>670</v>
      </c>
      <c r="C93" s="7" t="s">
        <v>670</v>
      </c>
      <c r="D93" s="9" t="s">
        <v>568</v>
      </c>
      <c r="E93" s="1" t="s">
        <v>671</v>
      </c>
      <c r="F93" s="1" t="s">
        <v>27</v>
      </c>
      <c r="G93" s="2">
        <v>26</v>
      </c>
      <c r="H93" s="1">
        <v>1971289</v>
      </c>
      <c r="I93" s="1" t="s">
        <v>672</v>
      </c>
      <c r="J93" s="1" t="s">
        <v>673</v>
      </c>
      <c r="K93" s="1" t="s">
        <v>175</v>
      </c>
      <c r="L93" s="1" t="s">
        <v>674</v>
      </c>
      <c r="M93" s="10" t="s">
        <v>32</v>
      </c>
      <c r="N93" t="b">
        <f>Q93=B93</f>
        <v>1</v>
      </c>
      <c r="O93" s="5" t="s">
        <v>177</v>
      </c>
      <c r="P93" s="4" t="s">
        <v>675</v>
      </c>
      <c r="Q93" s="4" t="s">
        <v>670</v>
      </c>
      <c r="R93" s="4" t="s">
        <v>106</v>
      </c>
      <c r="S93" s="3" t="s">
        <v>106</v>
      </c>
      <c r="T93" s="4" t="s">
        <v>269</v>
      </c>
      <c r="U93" s="3" t="s">
        <v>574</v>
      </c>
      <c r="W93" s="1" t="s">
        <v>545</v>
      </c>
      <c r="X93" s="1" t="s">
        <v>545</v>
      </c>
      <c r="Y93" s="1" t="s">
        <v>545</v>
      </c>
      <c r="Z93" t="b">
        <f t="shared" si="1"/>
        <v>1</v>
      </c>
    </row>
    <row r="94" spans="2:26">
      <c r="B94" s="7" t="s">
        <v>676</v>
      </c>
      <c r="C94" s="7" t="s">
        <v>676</v>
      </c>
      <c r="D94" s="9" t="s">
        <v>172</v>
      </c>
      <c r="E94" s="1" t="s">
        <v>677</v>
      </c>
      <c r="F94" s="1" t="s">
        <v>27</v>
      </c>
      <c r="G94" s="2">
        <v>86</v>
      </c>
      <c r="H94" s="1">
        <v>2155050</v>
      </c>
      <c r="I94" s="1" t="s">
        <v>678</v>
      </c>
      <c r="J94" s="1" t="s">
        <v>119</v>
      </c>
      <c r="K94" s="1" t="s">
        <v>218</v>
      </c>
      <c r="L94" s="1" t="s">
        <v>120</v>
      </c>
      <c r="M94" s="10" t="s">
        <v>32</v>
      </c>
      <c r="N94" t="b">
        <f>Q94=B94</f>
        <v>1</v>
      </c>
      <c r="O94" s="5" t="s">
        <v>186</v>
      </c>
      <c r="P94" s="4" t="s">
        <v>679</v>
      </c>
      <c r="Q94" s="4" t="s">
        <v>676</v>
      </c>
      <c r="R94" s="4" t="s">
        <v>122</v>
      </c>
      <c r="S94" s="3" t="s">
        <v>89</v>
      </c>
      <c r="T94" s="4" t="s">
        <v>188</v>
      </c>
      <c r="U94" s="3" t="s">
        <v>180</v>
      </c>
      <c r="W94" s="1" t="s">
        <v>123</v>
      </c>
      <c r="X94" s="1" t="s">
        <v>124</v>
      </c>
      <c r="Y94" s="1" t="s">
        <v>124</v>
      </c>
      <c r="Z94" t="b">
        <f t="shared" si="1"/>
        <v>1</v>
      </c>
    </row>
    <row r="95" spans="2:26">
      <c r="B95" s="7" t="s">
        <v>680</v>
      </c>
      <c r="C95" s="7" t="s">
        <v>680</v>
      </c>
      <c r="D95" s="9" t="s">
        <v>172</v>
      </c>
      <c r="E95" s="1" t="s">
        <v>681</v>
      </c>
      <c r="F95" s="1" t="s">
        <v>27</v>
      </c>
      <c r="G95" s="2">
        <v>125</v>
      </c>
      <c r="H95" s="1">
        <v>2011118</v>
      </c>
      <c r="I95" s="1" t="s">
        <v>682</v>
      </c>
      <c r="J95" s="1" t="s">
        <v>683</v>
      </c>
      <c r="K95" s="1"/>
      <c r="L95" s="1" t="s">
        <v>684</v>
      </c>
      <c r="M95" s="10" t="s">
        <v>32</v>
      </c>
      <c r="N95" t="b">
        <f>Q95=B95</f>
        <v>1</v>
      </c>
      <c r="O95" s="5" t="s">
        <v>203</v>
      </c>
      <c r="P95" s="4" t="s">
        <v>685</v>
      </c>
      <c r="Q95" s="4" t="s">
        <v>680</v>
      </c>
      <c r="R95" s="4" t="s">
        <v>489</v>
      </c>
      <c r="S95" s="3" t="s">
        <v>34</v>
      </c>
      <c r="T95" s="4" t="s">
        <v>371</v>
      </c>
      <c r="U95" s="3" t="s">
        <v>180</v>
      </c>
      <c r="W95" s="1" t="s">
        <v>98</v>
      </c>
      <c r="X95" s="1" t="s">
        <v>98</v>
      </c>
      <c r="Y95" s="1" t="s">
        <v>98</v>
      </c>
      <c r="Z95" t="b">
        <f t="shared" si="1"/>
        <v>1</v>
      </c>
    </row>
    <row r="96" spans="2:26">
      <c r="B96" s="7" t="s">
        <v>686</v>
      </c>
      <c r="C96" s="7" t="s">
        <v>686</v>
      </c>
      <c r="D96" s="9" t="s">
        <v>172</v>
      </c>
      <c r="E96" s="1" t="s">
        <v>687</v>
      </c>
      <c r="F96" s="1" t="s">
        <v>27</v>
      </c>
      <c r="G96" s="2">
        <v>49</v>
      </c>
      <c r="H96" s="1">
        <v>2387480</v>
      </c>
      <c r="I96" s="1" t="s">
        <v>688</v>
      </c>
      <c r="J96" s="1" t="s">
        <v>584</v>
      </c>
      <c r="K96" s="1" t="s">
        <v>226</v>
      </c>
      <c r="L96" s="1" t="s">
        <v>689</v>
      </c>
      <c r="M96" s="10" t="s">
        <v>32</v>
      </c>
      <c r="N96" t="b">
        <f>Q96=B96</f>
        <v>1</v>
      </c>
      <c r="O96" s="5" t="s">
        <v>186</v>
      </c>
      <c r="P96" s="4" t="s">
        <v>690</v>
      </c>
      <c r="Q96" s="4" t="s">
        <v>686</v>
      </c>
      <c r="R96" s="4" t="s">
        <v>122</v>
      </c>
      <c r="S96" s="3" t="s">
        <v>89</v>
      </c>
      <c r="T96" s="4" t="s">
        <v>188</v>
      </c>
      <c r="U96" s="3" t="s">
        <v>180</v>
      </c>
      <c r="W96" s="1" t="s">
        <v>315</v>
      </c>
      <c r="X96" s="1" t="s">
        <v>315</v>
      </c>
      <c r="Y96" s="1" t="s">
        <v>315</v>
      </c>
      <c r="Z96" t="b">
        <f t="shared" si="1"/>
        <v>1</v>
      </c>
    </row>
    <row r="97" spans="2:26">
      <c r="B97" s="7" t="s">
        <v>691</v>
      </c>
      <c r="C97" s="7" t="s">
        <v>691</v>
      </c>
      <c r="D97" s="9" t="s">
        <v>172</v>
      </c>
      <c r="E97" s="1" t="s">
        <v>692</v>
      </c>
      <c r="F97" s="1" t="s">
        <v>27</v>
      </c>
      <c r="G97" s="2">
        <v>51</v>
      </c>
      <c r="H97" s="1">
        <v>2375249</v>
      </c>
      <c r="I97" s="1" t="s">
        <v>150</v>
      </c>
      <c r="J97" s="1" t="s">
        <v>349</v>
      </c>
      <c r="K97" s="1" t="s">
        <v>350</v>
      </c>
      <c r="L97" s="1" t="s">
        <v>693</v>
      </c>
      <c r="M97" s="10" t="s">
        <v>153</v>
      </c>
      <c r="N97" t="b">
        <f>Q97=B97</f>
        <v>1</v>
      </c>
      <c r="O97" s="5" t="s">
        <v>186</v>
      </c>
      <c r="P97" s="4" t="s">
        <v>694</v>
      </c>
      <c r="Q97" s="4" t="s">
        <v>691</v>
      </c>
      <c r="R97" s="4" t="s">
        <v>89</v>
      </c>
      <c r="S97" s="3" t="s">
        <v>89</v>
      </c>
      <c r="T97" s="4" t="s">
        <v>188</v>
      </c>
      <c r="U97" s="3" t="s">
        <v>180</v>
      </c>
      <c r="W97" s="1" t="s">
        <v>315</v>
      </c>
      <c r="X97" s="1" t="s">
        <v>315</v>
      </c>
      <c r="Y97" s="1" t="s">
        <v>315</v>
      </c>
      <c r="Z97" t="b">
        <f t="shared" si="1"/>
        <v>1</v>
      </c>
    </row>
    <row r="98" spans="2:26">
      <c r="B98" s="7" t="s">
        <v>695</v>
      </c>
      <c r="C98" s="7" t="s">
        <v>695</v>
      </c>
      <c r="D98" s="9" t="s">
        <v>172</v>
      </c>
      <c r="E98" s="1" t="s">
        <v>696</v>
      </c>
      <c r="F98" s="1" t="s">
        <v>27</v>
      </c>
      <c r="G98" s="2">
        <v>15</v>
      </c>
      <c r="H98" s="1">
        <v>2090240</v>
      </c>
      <c r="I98" s="1" t="s">
        <v>697</v>
      </c>
      <c r="J98" s="1" t="s">
        <v>367</v>
      </c>
      <c r="K98" s="1" t="s">
        <v>368</v>
      </c>
      <c r="L98" s="1" t="s">
        <v>698</v>
      </c>
      <c r="M98" s="10" t="s">
        <v>32</v>
      </c>
      <c r="N98" t="b">
        <f>Q98=B98</f>
        <v>1</v>
      </c>
      <c r="O98" s="5" t="s">
        <v>186</v>
      </c>
      <c r="P98" s="4" t="s">
        <v>699</v>
      </c>
      <c r="Q98" s="4" t="s">
        <v>695</v>
      </c>
      <c r="R98" s="4" t="s">
        <v>700</v>
      </c>
      <c r="S98" s="3" t="s">
        <v>106</v>
      </c>
      <c r="T98" s="4" t="s">
        <v>701</v>
      </c>
      <c r="U98" s="3" t="s">
        <v>180</v>
      </c>
      <c r="W98" s="1" t="s">
        <v>372</v>
      </c>
      <c r="X98" s="1" t="s">
        <v>372</v>
      </c>
      <c r="Y98" s="1" t="s">
        <v>373</v>
      </c>
      <c r="Z98" t="b">
        <f t="shared" si="1"/>
        <v>0</v>
      </c>
    </row>
    <row r="99" spans="2:26">
      <c r="B99" s="7" t="s">
        <v>702</v>
      </c>
      <c r="C99" s="7" t="s">
        <v>702</v>
      </c>
      <c r="D99" s="9" t="s">
        <v>568</v>
      </c>
      <c r="E99" s="1" t="s">
        <v>703</v>
      </c>
      <c r="F99" s="1" t="s">
        <v>102</v>
      </c>
      <c r="G99" s="1" t="s">
        <v>704</v>
      </c>
      <c r="H99" s="1" t="s">
        <v>704</v>
      </c>
      <c r="I99" s="1" t="s">
        <v>704</v>
      </c>
      <c r="J99" s="1" t="s">
        <v>704</v>
      </c>
      <c r="K99" s="1" t="s">
        <v>704</v>
      </c>
      <c r="L99" s="1" t="s">
        <v>705</v>
      </c>
      <c r="M99" s="10" t="s">
        <v>32</v>
      </c>
      <c r="N99" t="b">
        <f>Q99=B99</f>
        <v>1</v>
      </c>
      <c r="O99" s="5"/>
      <c r="P99" s="4" t="s">
        <v>706</v>
      </c>
      <c r="Q99" s="4" t="s">
        <v>707</v>
      </c>
      <c r="R99" s="4"/>
      <c r="S99" s="3"/>
      <c r="T99" s="4"/>
      <c r="U99" s="3"/>
      <c r="W99" s="1" t="s">
        <v>708</v>
      </c>
      <c r="X99" s="1" t="s">
        <v>708</v>
      </c>
      <c r="Y99" s="1" t="s">
        <v>708</v>
      </c>
      <c r="Z99" t="b">
        <f t="shared" si="1"/>
        <v>1</v>
      </c>
    </row>
  </sheetData>
  <sortState xmlns:xlrd2="http://schemas.microsoft.com/office/spreadsheetml/2017/richdata2" ref="B4:U99">
    <sortCondition ref="E4:E99"/>
  </sortState>
  <conditionalFormatting sqref="N4:N99">
    <cfRule type="cellIs" dxfId="1" priority="2" operator="equal">
      <formula>TRUE</formula>
    </cfRule>
  </conditionalFormatting>
  <conditionalFormatting sqref="N4:N99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Region Hovedstaden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Lykke Marvig</dc:creator>
  <cp:keywords/>
  <dc:description/>
  <cp:lastModifiedBy>Rasmus Lykke Marvig</cp:lastModifiedBy>
  <cp:revision/>
  <dcterms:created xsi:type="dcterms:W3CDTF">2026-01-19T13:05:02Z</dcterms:created>
  <dcterms:modified xsi:type="dcterms:W3CDTF">2026-03-10T11:50:07Z</dcterms:modified>
  <cp:category/>
  <cp:contentStatus/>
</cp:coreProperties>
</file>